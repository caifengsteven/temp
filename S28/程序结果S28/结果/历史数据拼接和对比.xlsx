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08" windowWidth="29736" windowHeight="13584" activeTab="1"/>
  </bookViews>
  <sheets>
    <sheet name="Sheet1" sheetId="1" r:id="rId1"/>
    <sheet name="指数数据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7" i="2" l="1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6" i="2"/>
  <c r="W4" i="1"/>
  <c r="W5" i="1"/>
  <c r="W6" i="1"/>
  <c r="W7" i="1"/>
  <c r="W8" i="1"/>
  <c r="W9" i="1"/>
  <c r="W10" i="1"/>
  <c r="W11" i="1"/>
  <c r="W12" i="1"/>
  <c r="W13" i="1"/>
  <c r="W3" i="1"/>
  <c r="V4" i="1"/>
  <c r="V5" i="1"/>
  <c r="V6" i="1"/>
  <c r="V7" i="1"/>
  <c r="V8" i="1"/>
  <c r="V9" i="1"/>
  <c r="V10" i="1"/>
  <c r="V11" i="1"/>
  <c r="V12" i="1"/>
  <c r="V13" i="1"/>
  <c r="V3" i="1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6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<sst xmlns="http://schemas.openxmlformats.org/spreadsheetml/2006/main" count="30" uniqueCount="10">
  <si>
    <t>SF</t>
  </si>
  <si>
    <t>IF1701</t>
  </si>
  <si>
    <t>历史数据</t>
    <phoneticPr fontId="1" type="noConversion"/>
  </si>
  <si>
    <t>wind下载</t>
    <phoneticPr fontId="1" type="noConversion"/>
  </si>
  <si>
    <t>历史数据</t>
    <phoneticPr fontId="1" type="noConversion"/>
  </si>
  <si>
    <t>wind</t>
    <phoneticPr fontId="1" type="noConversion"/>
  </si>
  <si>
    <t>比值1</t>
    <phoneticPr fontId="1" type="noConversion"/>
  </si>
  <si>
    <t>比值2</t>
    <phoneticPr fontId="1" type="noConversion"/>
  </si>
  <si>
    <t>比值2</t>
    <phoneticPr fontId="1" type="noConversion"/>
  </si>
  <si>
    <t>4月13又对应上了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</si>
</sst>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20" fontId="0" fillId="2" borderId="0" xfId="0" applyNumberFormat="1" applyFill="1">
      <alignment vertical="center"/>
    </xf>
    <xf numFmtId="22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3"/>
  <sheetViews>
    <sheetView workbookViewId="0">
      <selection activeCell="L3" sqref="L3"/>
    </sheetView>
  </sheetViews>
  <sheetFormatPr defaultRowHeight="14.4" x14ac:dyDescent="0.25"/>
  <cols>
    <col min="1" max="1" width="18.33203125" bestFit="1" customWidth="1"/>
    <col min="3" max="3" width="18.33203125" bestFit="1" customWidth="1"/>
    <col min="12" max="12" width="18.33203125" bestFit="1" customWidth="1"/>
  </cols>
  <sheetData>
    <row r="1" spans="1:23" x14ac:dyDescent="0.25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L1" s="9" t="s">
        <v>3</v>
      </c>
      <c r="M1" s="9"/>
      <c r="N1" s="9"/>
      <c r="O1" s="9"/>
      <c r="P1" s="9"/>
      <c r="Q1" s="9"/>
      <c r="R1" s="9"/>
      <c r="S1" s="9"/>
      <c r="T1" s="9"/>
      <c r="U1" s="9"/>
    </row>
    <row r="2" spans="1:23" x14ac:dyDescent="0.25">
      <c r="A2" t="s">
        <v>0</v>
      </c>
      <c r="B2" t="s">
        <v>1</v>
      </c>
      <c r="C2" s="1">
        <v>42733.413888888892</v>
      </c>
      <c r="D2">
        <v>3278.4</v>
      </c>
      <c r="E2">
        <v>3278.6</v>
      </c>
      <c r="F2">
        <v>3277.6</v>
      </c>
      <c r="G2">
        <v>3278.4</v>
      </c>
      <c r="H2">
        <v>19</v>
      </c>
      <c r="I2">
        <v>18684420</v>
      </c>
      <c r="J2">
        <v>27391</v>
      </c>
      <c r="V2" t="s">
        <v>6</v>
      </c>
      <c r="W2" t="s">
        <v>7</v>
      </c>
    </row>
    <row r="3" spans="1:23" x14ac:dyDescent="0.25">
      <c r="A3" t="s">
        <v>0</v>
      </c>
      <c r="B3" t="s">
        <v>1</v>
      </c>
      <c r="C3" s="1">
        <v>42733.414583333331</v>
      </c>
      <c r="D3">
        <v>3278.4</v>
      </c>
      <c r="E3">
        <v>3279</v>
      </c>
      <c r="F3">
        <v>3277.8</v>
      </c>
      <c r="G3">
        <v>3279</v>
      </c>
      <c r="H3">
        <v>16</v>
      </c>
      <c r="I3">
        <v>15735540</v>
      </c>
      <c r="J3">
        <v>27380</v>
      </c>
      <c r="L3" s="1">
        <v>42733.413888888892</v>
      </c>
      <c r="M3">
        <v>3278</v>
      </c>
      <c r="N3">
        <v>3279</v>
      </c>
      <c r="O3">
        <v>3277.8</v>
      </c>
      <c r="P3">
        <v>3279</v>
      </c>
      <c r="Q3">
        <v>16</v>
      </c>
      <c r="R3">
        <v>15735540</v>
      </c>
      <c r="S3">
        <v>0.6</v>
      </c>
      <c r="T3">
        <v>2.0000000000000001E-4</v>
      </c>
      <c r="U3">
        <v>27380</v>
      </c>
      <c r="V3">
        <f>I3/R3</f>
        <v>1</v>
      </c>
      <c r="W3">
        <f>J3/U3</f>
        <v>1</v>
      </c>
    </row>
    <row r="4" spans="1:23" x14ac:dyDescent="0.25">
      <c r="A4" t="s">
        <v>0</v>
      </c>
      <c r="B4" t="s">
        <v>1</v>
      </c>
      <c r="C4" s="1">
        <v>42733.415277777778</v>
      </c>
      <c r="D4">
        <v>3279</v>
      </c>
      <c r="E4">
        <v>3279.4</v>
      </c>
      <c r="F4">
        <v>3277.8</v>
      </c>
      <c r="G4">
        <v>3277.8</v>
      </c>
      <c r="H4">
        <v>17</v>
      </c>
      <c r="I4">
        <v>16722120</v>
      </c>
      <c r="J4">
        <v>27373</v>
      </c>
      <c r="L4" s="1">
        <v>42733.414583333331</v>
      </c>
      <c r="M4">
        <v>3279</v>
      </c>
      <c r="N4">
        <v>3279.4</v>
      </c>
      <c r="O4">
        <v>3277.8</v>
      </c>
      <c r="P4">
        <v>3277.8</v>
      </c>
      <c r="Q4">
        <v>17</v>
      </c>
      <c r="R4">
        <v>16722120</v>
      </c>
      <c r="S4">
        <v>-1.2</v>
      </c>
      <c r="T4">
        <v>-4.0000000000000002E-4</v>
      </c>
      <c r="U4">
        <v>27373</v>
      </c>
      <c r="V4">
        <f t="shared" ref="V4:V13" si="0">I4/R4</f>
        <v>1</v>
      </c>
      <c r="W4">
        <f t="shared" ref="W4:W13" si="1">J4/U4</f>
        <v>1</v>
      </c>
    </row>
    <row r="5" spans="1:23" x14ac:dyDescent="0.25">
      <c r="A5" t="s">
        <v>0</v>
      </c>
      <c r="B5" t="s">
        <v>1</v>
      </c>
      <c r="C5" s="1">
        <v>42733.415972222225</v>
      </c>
      <c r="D5">
        <v>3277.8</v>
      </c>
      <c r="E5">
        <v>3278.4</v>
      </c>
      <c r="F5">
        <v>3277.2</v>
      </c>
      <c r="G5">
        <v>3277.2</v>
      </c>
      <c r="H5">
        <v>20</v>
      </c>
      <c r="I5">
        <v>19667760</v>
      </c>
      <c r="J5">
        <v>27367</v>
      </c>
      <c r="L5" s="1">
        <v>42733.415277777778</v>
      </c>
      <c r="M5">
        <v>3278.4</v>
      </c>
      <c r="N5">
        <v>3278.4</v>
      </c>
      <c r="O5">
        <v>3277.2</v>
      </c>
      <c r="P5">
        <v>3277.2</v>
      </c>
      <c r="Q5">
        <v>20</v>
      </c>
      <c r="R5">
        <v>19667760</v>
      </c>
      <c r="S5">
        <v>-0.6</v>
      </c>
      <c r="T5">
        <v>-2.0000000000000001E-4</v>
      </c>
      <c r="U5">
        <v>27367</v>
      </c>
      <c r="V5">
        <f t="shared" si="0"/>
        <v>1</v>
      </c>
      <c r="W5">
        <f t="shared" si="1"/>
        <v>1</v>
      </c>
    </row>
    <row r="6" spans="1:23" x14ac:dyDescent="0.25">
      <c r="A6" t="s">
        <v>0</v>
      </c>
      <c r="B6" t="s">
        <v>1</v>
      </c>
      <c r="C6" s="1">
        <v>42733.416666666664</v>
      </c>
      <c r="D6">
        <v>3277.2</v>
      </c>
      <c r="E6">
        <v>3277.2</v>
      </c>
      <c r="F6">
        <v>3275.6</v>
      </c>
      <c r="G6">
        <v>3275.6</v>
      </c>
      <c r="H6">
        <v>36</v>
      </c>
      <c r="I6">
        <v>35385600</v>
      </c>
      <c r="J6">
        <v>27350</v>
      </c>
      <c r="L6" s="1">
        <v>42733.415972222225</v>
      </c>
      <c r="M6">
        <v>3277.2</v>
      </c>
      <c r="N6">
        <v>3277.2</v>
      </c>
      <c r="O6">
        <v>3275.6</v>
      </c>
      <c r="P6">
        <v>3275.6</v>
      </c>
      <c r="Q6">
        <v>36</v>
      </c>
      <c r="R6">
        <v>35385600</v>
      </c>
      <c r="S6">
        <v>-1.6</v>
      </c>
      <c r="T6">
        <v>-5.0000000000000001E-4</v>
      </c>
      <c r="U6">
        <v>27350</v>
      </c>
      <c r="V6">
        <f t="shared" si="0"/>
        <v>1</v>
      </c>
      <c r="W6">
        <f t="shared" si="1"/>
        <v>1</v>
      </c>
    </row>
    <row r="7" spans="1:23" x14ac:dyDescent="0.25">
      <c r="A7" t="s">
        <v>0</v>
      </c>
      <c r="B7" t="s">
        <v>1</v>
      </c>
      <c r="C7" s="1">
        <v>42733.417361111111</v>
      </c>
      <c r="D7">
        <v>3275.6</v>
      </c>
      <c r="E7">
        <v>3276.4</v>
      </c>
      <c r="F7">
        <v>3275</v>
      </c>
      <c r="G7">
        <v>3275</v>
      </c>
      <c r="H7">
        <v>20</v>
      </c>
      <c r="I7">
        <v>19654140</v>
      </c>
      <c r="J7">
        <v>27343</v>
      </c>
      <c r="L7" s="1">
        <v>42733.416666666664</v>
      </c>
      <c r="M7">
        <v>3275.6</v>
      </c>
      <c r="N7">
        <v>3276.4</v>
      </c>
      <c r="O7">
        <v>3275</v>
      </c>
      <c r="P7">
        <v>3275</v>
      </c>
      <c r="Q7">
        <v>20</v>
      </c>
      <c r="R7">
        <v>19654140</v>
      </c>
      <c r="S7">
        <v>-0.6</v>
      </c>
      <c r="T7">
        <v>-2.0000000000000001E-4</v>
      </c>
      <c r="U7">
        <v>27343</v>
      </c>
      <c r="V7">
        <f t="shared" si="0"/>
        <v>1</v>
      </c>
      <c r="W7">
        <f t="shared" si="1"/>
        <v>1</v>
      </c>
    </row>
    <row r="8" spans="1:23" x14ac:dyDescent="0.25">
      <c r="A8" t="s">
        <v>0</v>
      </c>
      <c r="B8" t="s">
        <v>1</v>
      </c>
      <c r="C8" s="1">
        <v>42733.418055555558</v>
      </c>
      <c r="D8">
        <v>3275</v>
      </c>
      <c r="E8">
        <v>3276</v>
      </c>
      <c r="F8">
        <v>3275</v>
      </c>
      <c r="G8">
        <v>3275.8</v>
      </c>
      <c r="H8">
        <v>15</v>
      </c>
      <c r="I8">
        <v>14739960</v>
      </c>
      <c r="J8">
        <v>27333</v>
      </c>
      <c r="L8" s="1">
        <v>42733.417361111111</v>
      </c>
      <c r="M8">
        <v>3275</v>
      </c>
      <c r="N8">
        <v>3276</v>
      </c>
      <c r="O8">
        <v>3275</v>
      </c>
      <c r="P8">
        <v>3275.8</v>
      </c>
      <c r="Q8">
        <v>15</v>
      </c>
      <c r="R8">
        <v>14739960</v>
      </c>
      <c r="S8">
        <v>0.8</v>
      </c>
      <c r="T8">
        <v>2.0000000000000001E-4</v>
      </c>
      <c r="U8">
        <v>27333</v>
      </c>
      <c r="V8">
        <f t="shared" si="0"/>
        <v>1</v>
      </c>
      <c r="W8">
        <f t="shared" si="1"/>
        <v>1</v>
      </c>
    </row>
    <row r="9" spans="1:23" x14ac:dyDescent="0.25">
      <c r="A9" t="s">
        <v>0</v>
      </c>
      <c r="B9" t="s">
        <v>1</v>
      </c>
      <c r="C9" s="1">
        <v>42733.418749999997</v>
      </c>
      <c r="D9">
        <v>3275.8</v>
      </c>
      <c r="E9">
        <v>3276.6</v>
      </c>
      <c r="F9">
        <v>3275.4</v>
      </c>
      <c r="G9">
        <v>3275.8</v>
      </c>
      <c r="H9">
        <v>15</v>
      </c>
      <c r="I9">
        <v>14741040</v>
      </c>
      <c r="J9">
        <v>27323</v>
      </c>
      <c r="L9" s="1">
        <v>42733.418055555558</v>
      </c>
      <c r="M9">
        <v>3276.6</v>
      </c>
      <c r="N9">
        <v>3276.6</v>
      </c>
      <c r="O9">
        <v>3275.4</v>
      </c>
      <c r="P9">
        <v>3275.8</v>
      </c>
      <c r="Q9">
        <v>15</v>
      </c>
      <c r="R9">
        <v>14741040</v>
      </c>
      <c r="S9">
        <v>0</v>
      </c>
      <c r="T9">
        <v>0</v>
      </c>
      <c r="U9">
        <v>27323</v>
      </c>
      <c r="V9">
        <f t="shared" si="0"/>
        <v>1</v>
      </c>
      <c r="W9">
        <f t="shared" si="1"/>
        <v>1</v>
      </c>
    </row>
    <row r="10" spans="1:23" x14ac:dyDescent="0.25">
      <c r="A10" t="s">
        <v>0</v>
      </c>
      <c r="B10" t="s">
        <v>1</v>
      </c>
      <c r="C10" s="1">
        <v>42733.419444444444</v>
      </c>
      <c r="D10">
        <v>3275.8</v>
      </c>
      <c r="E10">
        <v>3278</v>
      </c>
      <c r="F10">
        <v>3275.4</v>
      </c>
      <c r="G10">
        <v>3278</v>
      </c>
      <c r="H10">
        <v>17</v>
      </c>
      <c r="I10">
        <v>16708740</v>
      </c>
      <c r="J10">
        <v>27314</v>
      </c>
      <c r="L10" s="1">
        <v>42733.418749999997</v>
      </c>
      <c r="M10">
        <v>3276</v>
      </c>
      <c r="N10">
        <v>3278</v>
      </c>
      <c r="O10">
        <v>3275.4</v>
      </c>
      <c r="P10">
        <v>3278</v>
      </c>
      <c r="Q10">
        <v>17</v>
      </c>
      <c r="R10">
        <v>16708740</v>
      </c>
      <c r="S10">
        <v>2.2000000000000002</v>
      </c>
      <c r="T10">
        <v>6.9999999999999999E-4</v>
      </c>
      <c r="U10">
        <v>27314</v>
      </c>
      <c r="V10">
        <f t="shared" si="0"/>
        <v>1</v>
      </c>
      <c r="W10">
        <f t="shared" si="1"/>
        <v>1</v>
      </c>
    </row>
    <row r="11" spans="1:23" x14ac:dyDescent="0.25">
      <c r="A11" t="s">
        <v>0</v>
      </c>
      <c r="B11" t="s">
        <v>1</v>
      </c>
      <c r="C11" s="1">
        <v>42733.420138888891</v>
      </c>
      <c r="D11">
        <v>3276.6</v>
      </c>
      <c r="E11">
        <v>3277</v>
      </c>
      <c r="F11">
        <v>3276</v>
      </c>
      <c r="G11">
        <v>3277</v>
      </c>
      <c r="H11">
        <v>13</v>
      </c>
      <c r="I11">
        <v>12778260</v>
      </c>
      <c r="J11">
        <v>27314</v>
      </c>
      <c r="L11" s="1">
        <v>42733.419444444444</v>
      </c>
      <c r="M11">
        <v>3276.6</v>
      </c>
      <c r="N11">
        <v>3277</v>
      </c>
      <c r="O11">
        <v>3276</v>
      </c>
      <c r="P11">
        <v>3277</v>
      </c>
      <c r="Q11">
        <v>13</v>
      </c>
      <c r="R11">
        <v>12778260</v>
      </c>
      <c r="S11">
        <v>-1</v>
      </c>
      <c r="T11">
        <v>-2.9999999999999997E-4</v>
      </c>
      <c r="U11">
        <v>27314</v>
      </c>
      <c r="V11">
        <f t="shared" si="0"/>
        <v>1</v>
      </c>
      <c r="W11">
        <f t="shared" si="1"/>
        <v>1</v>
      </c>
    </row>
    <row r="12" spans="1:23" x14ac:dyDescent="0.25">
      <c r="A12" t="s">
        <v>0</v>
      </c>
      <c r="B12" t="s">
        <v>1</v>
      </c>
      <c r="C12" s="1">
        <v>42733.42083333333</v>
      </c>
      <c r="D12">
        <v>3277</v>
      </c>
      <c r="E12">
        <v>3277.2</v>
      </c>
      <c r="F12">
        <v>3276</v>
      </c>
      <c r="G12">
        <v>3276.4</v>
      </c>
      <c r="H12">
        <v>18</v>
      </c>
      <c r="I12">
        <v>17694420</v>
      </c>
      <c r="J12">
        <v>27303</v>
      </c>
      <c r="L12" s="1">
        <v>42733.420138888891</v>
      </c>
      <c r="M12">
        <v>3276.8</v>
      </c>
      <c r="N12">
        <v>3277.2</v>
      </c>
      <c r="O12">
        <v>3276</v>
      </c>
      <c r="P12">
        <v>3276.4</v>
      </c>
      <c r="Q12">
        <v>18</v>
      </c>
      <c r="R12">
        <v>17694420</v>
      </c>
      <c r="S12">
        <v>-0.6</v>
      </c>
      <c r="T12">
        <v>-2.0000000000000001E-4</v>
      </c>
      <c r="U12">
        <v>27303</v>
      </c>
      <c r="V12">
        <f t="shared" si="0"/>
        <v>1</v>
      </c>
      <c r="W12">
        <f t="shared" si="1"/>
        <v>1</v>
      </c>
    </row>
    <row r="13" spans="1:23" x14ac:dyDescent="0.25">
      <c r="L13" s="1">
        <v>42733.42083333333</v>
      </c>
      <c r="M13">
        <v>3276.4</v>
      </c>
      <c r="N13">
        <v>3277</v>
      </c>
      <c r="O13">
        <v>3275.4</v>
      </c>
      <c r="P13">
        <v>3277</v>
      </c>
      <c r="Q13">
        <v>23</v>
      </c>
      <c r="R13">
        <v>22606200</v>
      </c>
      <c r="S13">
        <v>0.6</v>
      </c>
      <c r="T13">
        <v>2.0000000000000001E-4</v>
      </c>
      <c r="U13">
        <v>27296</v>
      </c>
      <c r="V13">
        <f t="shared" si="0"/>
        <v>0</v>
      </c>
      <c r="W13">
        <f t="shared" si="1"/>
        <v>0</v>
      </c>
    </row>
  </sheetData>
  <mergeCells count="2">
    <mergeCell ref="A1:J1"/>
    <mergeCell ref="L1: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S88"/>
  <sheetViews>
    <sheetView tabSelected="1" workbookViewId="0">
      <selection activeCell="V38" sqref="V38"/>
    </sheetView>
  </sheetViews>
  <sheetFormatPr defaultRowHeight="14.4" x14ac:dyDescent="0.25"/>
  <cols>
    <col min="1" max="1" width="11.6640625" bestFit="1" customWidth="1"/>
    <col min="3" max="3" width="18.33203125" bestFit="1" customWidth="1"/>
    <col min="9" max="9" width="10.5546875" bestFit="1" customWidth="1"/>
    <col min="11" max="11" width="18.33203125" bestFit="1" customWidth="1"/>
  </cols>
  <sheetData>
    <row r="4" spans="1:19" x14ac:dyDescent="0.25">
      <c r="A4" s="9" t="s">
        <v>4</v>
      </c>
      <c r="B4" s="9"/>
      <c r="C4" s="9"/>
      <c r="D4" s="9"/>
      <c r="E4" s="9"/>
      <c r="F4" s="9"/>
      <c r="G4" s="9"/>
      <c r="H4" s="9"/>
      <c r="I4" s="9"/>
      <c r="K4" s="9" t="s">
        <v>5</v>
      </c>
      <c r="L4" s="9"/>
      <c r="M4" s="9"/>
      <c r="N4" s="9"/>
      <c r="O4" s="9"/>
      <c r="P4" s="9"/>
      <c r="Q4" s="9"/>
      <c r="R4" s="2"/>
    </row>
    <row r="5" spans="1:19" x14ac:dyDescent="0.25">
      <c r="A5" s="3">
        <v>42734</v>
      </c>
      <c r="B5" s="4">
        <v>0.4201388888888889</v>
      </c>
      <c r="C5" s="1">
        <f t="shared" ref="C5:C31" si="0">A5+B5</f>
        <v>42734.420138888891</v>
      </c>
      <c r="D5">
        <v>3307.1</v>
      </c>
      <c r="E5">
        <v>3307.16</v>
      </c>
      <c r="F5">
        <v>3306.12</v>
      </c>
      <c r="G5">
        <v>3306.12</v>
      </c>
      <c r="H5">
        <v>284277</v>
      </c>
      <c r="I5">
        <v>316531712</v>
      </c>
      <c r="S5" t="s">
        <v>8</v>
      </c>
    </row>
    <row r="6" spans="1:19" x14ac:dyDescent="0.25">
      <c r="A6" s="3">
        <v>42734</v>
      </c>
      <c r="B6" s="4">
        <v>0.42083333333333334</v>
      </c>
      <c r="C6" s="1">
        <f t="shared" si="0"/>
        <v>42734.42083333333</v>
      </c>
      <c r="D6">
        <v>3306.16</v>
      </c>
      <c r="E6">
        <v>3306.34</v>
      </c>
      <c r="F6">
        <v>3305.42</v>
      </c>
      <c r="G6">
        <v>3305.44</v>
      </c>
      <c r="H6">
        <v>346109</v>
      </c>
      <c r="I6">
        <v>365634560</v>
      </c>
      <c r="K6" s="1">
        <v>42734.420138888891</v>
      </c>
      <c r="L6">
        <v>3306.12</v>
      </c>
      <c r="M6">
        <v>3306.34</v>
      </c>
      <c r="N6">
        <v>3305.42</v>
      </c>
      <c r="O6">
        <v>3305.87</v>
      </c>
      <c r="P6">
        <v>366367</v>
      </c>
      <c r="Q6">
        <v>3881882</v>
      </c>
      <c r="R6">
        <f>P6/H6</f>
        <v>1.0585306940877006</v>
      </c>
      <c r="S6">
        <f>I6/Q6</f>
        <v>94.19002432325351</v>
      </c>
    </row>
    <row r="7" spans="1:19" s="8" customFormat="1" x14ac:dyDescent="0.25">
      <c r="A7" s="5">
        <v>42734</v>
      </c>
      <c r="B7" s="6">
        <v>0.42152777777777778</v>
      </c>
      <c r="C7" s="7">
        <f t="shared" si="0"/>
        <v>42734.421527777777</v>
      </c>
      <c r="D7" s="8">
        <v>3305.44</v>
      </c>
      <c r="E7" s="8">
        <v>3305.44</v>
      </c>
      <c r="F7" s="8">
        <v>3304.63</v>
      </c>
      <c r="G7" s="8">
        <v>3304.75</v>
      </c>
      <c r="H7" s="8">
        <v>307094</v>
      </c>
      <c r="I7" s="8">
        <v>334581760</v>
      </c>
      <c r="K7" s="7">
        <v>42734.42083333333</v>
      </c>
      <c r="L7" s="8">
        <v>3305.44</v>
      </c>
      <c r="M7" s="8">
        <v>3305.44</v>
      </c>
      <c r="N7" s="8">
        <v>3304.63</v>
      </c>
      <c r="O7" s="8">
        <v>3304.63</v>
      </c>
      <c r="P7" s="8">
        <v>311399</v>
      </c>
      <c r="Q7" s="8">
        <v>3391345</v>
      </c>
      <c r="R7">
        <f t="shared" ref="R7:R32" si="1">P7/H7</f>
        <v>1.0140185089907325</v>
      </c>
      <c r="S7">
        <f t="shared" ref="S7:S32" si="2">I7/Q7</f>
        <v>98.657541476906658</v>
      </c>
    </row>
    <row r="8" spans="1:19" x14ac:dyDescent="0.25">
      <c r="A8" s="3">
        <v>42734</v>
      </c>
      <c r="B8" s="4">
        <v>0.42222222222222222</v>
      </c>
      <c r="C8" s="1">
        <f t="shared" si="0"/>
        <v>42734.422222222223</v>
      </c>
      <c r="D8">
        <v>3304.78</v>
      </c>
      <c r="E8">
        <v>3305.04</v>
      </c>
      <c r="F8">
        <v>3304.15</v>
      </c>
      <c r="G8">
        <v>3304.32</v>
      </c>
      <c r="H8">
        <v>372548</v>
      </c>
      <c r="I8">
        <v>350234624</v>
      </c>
      <c r="K8" s="1">
        <v>42734.421527777777</v>
      </c>
      <c r="L8">
        <v>3304.75</v>
      </c>
      <c r="M8">
        <v>3305.04</v>
      </c>
      <c r="N8">
        <v>3304.15</v>
      </c>
      <c r="O8">
        <v>3304.22</v>
      </c>
      <c r="P8">
        <v>374368</v>
      </c>
      <c r="Q8">
        <v>3556158</v>
      </c>
      <c r="R8">
        <f t="shared" si="1"/>
        <v>1.0048852765281253</v>
      </c>
      <c r="S8">
        <f t="shared" si="2"/>
        <v>98.486800642716105</v>
      </c>
    </row>
    <row r="9" spans="1:19" x14ac:dyDescent="0.25">
      <c r="A9" s="3">
        <v>42734</v>
      </c>
      <c r="B9" s="4">
        <v>0.42291666666666666</v>
      </c>
      <c r="C9" s="1">
        <f t="shared" si="0"/>
        <v>42734.42291666667</v>
      </c>
      <c r="D9">
        <v>3304.08</v>
      </c>
      <c r="E9">
        <v>3304.63</v>
      </c>
      <c r="F9">
        <v>3303.77</v>
      </c>
      <c r="G9">
        <v>3304.44</v>
      </c>
      <c r="H9">
        <v>275901</v>
      </c>
      <c r="I9">
        <v>273788928</v>
      </c>
      <c r="K9" s="1">
        <v>42734.422222222223</v>
      </c>
      <c r="L9">
        <v>3304.32</v>
      </c>
      <c r="M9">
        <v>3304.63</v>
      </c>
      <c r="N9">
        <v>3303.77</v>
      </c>
      <c r="O9">
        <v>3304.49</v>
      </c>
      <c r="P9">
        <v>283488</v>
      </c>
      <c r="Q9">
        <v>2825414</v>
      </c>
      <c r="R9">
        <f t="shared" si="1"/>
        <v>1.0274989942044428</v>
      </c>
      <c r="S9">
        <f t="shared" si="2"/>
        <v>96.902233796533892</v>
      </c>
    </row>
    <row r="10" spans="1:19" x14ac:dyDescent="0.25">
      <c r="A10" s="3">
        <v>42734</v>
      </c>
      <c r="B10" s="4">
        <v>0.4236111111111111</v>
      </c>
      <c r="C10" s="1">
        <f t="shared" si="0"/>
        <v>42734.423611111109</v>
      </c>
      <c r="D10">
        <v>3304.26</v>
      </c>
      <c r="E10">
        <v>3304.94</v>
      </c>
      <c r="F10">
        <v>3304.13</v>
      </c>
      <c r="G10">
        <v>3304.94</v>
      </c>
      <c r="H10">
        <v>222330</v>
      </c>
      <c r="I10">
        <v>241547264</v>
      </c>
      <c r="K10" s="1">
        <v>42734.42291666667</v>
      </c>
      <c r="L10">
        <v>3304.44</v>
      </c>
      <c r="M10">
        <v>3304.91</v>
      </c>
      <c r="N10">
        <v>3304.13</v>
      </c>
      <c r="O10">
        <v>3304.5</v>
      </c>
      <c r="P10">
        <v>218994</v>
      </c>
      <c r="Q10">
        <v>2349845</v>
      </c>
      <c r="R10">
        <f t="shared" si="1"/>
        <v>0.98499527729051406</v>
      </c>
      <c r="S10">
        <f t="shared" si="2"/>
        <v>102.79284974115313</v>
      </c>
    </row>
    <row r="11" spans="1:19" x14ac:dyDescent="0.25">
      <c r="A11" s="3">
        <v>42734</v>
      </c>
      <c r="B11" s="4">
        <v>0.42430555555555555</v>
      </c>
      <c r="C11" s="1">
        <f t="shared" si="0"/>
        <v>42734.424305555556</v>
      </c>
      <c r="D11">
        <v>3304.74</v>
      </c>
      <c r="E11">
        <v>3304.86</v>
      </c>
      <c r="F11">
        <v>3304.32</v>
      </c>
      <c r="G11">
        <v>3304.43</v>
      </c>
      <c r="H11">
        <v>196634</v>
      </c>
      <c r="I11">
        <v>220741632</v>
      </c>
      <c r="K11" s="1">
        <v>42734.423611111109</v>
      </c>
      <c r="L11">
        <v>3304.94</v>
      </c>
      <c r="M11">
        <v>3304.94</v>
      </c>
      <c r="N11">
        <v>3304.32</v>
      </c>
      <c r="O11">
        <v>3304.4</v>
      </c>
      <c r="P11">
        <v>198604</v>
      </c>
      <c r="Q11">
        <v>2234578</v>
      </c>
      <c r="R11">
        <f t="shared" si="1"/>
        <v>1.0100186132611857</v>
      </c>
      <c r="S11">
        <f t="shared" si="2"/>
        <v>98.784482797199288</v>
      </c>
    </row>
    <row r="12" spans="1:19" x14ac:dyDescent="0.25">
      <c r="A12" s="3">
        <v>42734</v>
      </c>
      <c r="B12" s="4">
        <v>0.42499999999999999</v>
      </c>
      <c r="C12" s="1">
        <f t="shared" si="0"/>
        <v>42734.425000000003</v>
      </c>
      <c r="D12">
        <v>3304.38</v>
      </c>
      <c r="E12">
        <v>3304.77</v>
      </c>
      <c r="F12">
        <v>3304.22</v>
      </c>
      <c r="G12">
        <v>3304.38</v>
      </c>
      <c r="H12">
        <v>220752</v>
      </c>
      <c r="I12">
        <v>242281472</v>
      </c>
      <c r="K12" s="1">
        <v>42734.424305555556</v>
      </c>
      <c r="L12">
        <v>3304.43</v>
      </c>
      <c r="M12">
        <v>3304.77</v>
      </c>
      <c r="N12">
        <v>3304.22</v>
      </c>
      <c r="O12">
        <v>3304.28</v>
      </c>
      <c r="P12">
        <v>221774</v>
      </c>
      <c r="Q12">
        <v>2405959</v>
      </c>
      <c r="R12">
        <f t="shared" si="1"/>
        <v>1.0046296296296295</v>
      </c>
      <c r="S12">
        <f t="shared" si="2"/>
        <v>100.70058217949682</v>
      </c>
    </row>
    <row r="13" spans="1:19" x14ac:dyDescent="0.25">
      <c r="A13" s="3">
        <v>42734</v>
      </c>
      <c r="B13" s="4">
        <v>0.42569444444444443</v>
      </c>
      <c r="C13" s="1">
        <f t="shared" si="0"/>
        <v>42734.425694444442</v>
      </c>
      <c r="D13">
        <v>3304.33</v>
      </c>
      <c r="E13">
        <v>3304.88</v>
      </c>
      <c r="F13">
        <v>3304.05</v>
      </c>
      <c r="G13">
        <v>3304.51</v>
      </c>
      <c r="H13">
        <v>246964</v>
      </c>
      <c r="I13">
        <v>267138048</v>
      </c>
      <c r="K13" s="1">
        <v>42734.425000000003</v>
      </c>
      <c r="L13">
        <v>3304.38</v>
      </c>
      <c r="M13">
        <v>3304.88</v>
      </c>
      <c r="N13">
        <v>3304.05</v>
      </c>
      <c r="O13">
        <v>3304.5</v>
      </c>
      <c r="P13">
        <v>232340</v>
      </c>
      <c r="Q13">
        <v>2596866</v>
      </c>
      <c r="R13">
        <f t="shared" si="1"/>
        <v>0.94078489172510971</v>
      </c>
      <c r="S13">
        <f t="shared" si="2"/>
        <v>102.86940026940165</v>
      </c>
    </row>
    <row r="14" spans="1:19" x14ac:dyDescent="0.25">
      <c r="A14" s="3">
        <v>42734</v>
      </c>
      <c r="B14" s="4">
        <v>0.42638888888888887</v>
      </c>
      <c r="C14" s="1">
        <f t="shared" si="0"/>
        <v>42734.426388888889</v>
      </c>
      <c r="D14">
        <v>3304.62</v>
      </c>
      <c r="E14">
        <v>3304.96</v>
      </c>
      <c r="F14">
        <v>3304.1</v>
      </c>
      <c r="G14">
        <v>3304.34</v>
      </c>
      <c r="H14">
        <v>284350</v>
      </c>
      <c r="I14">
        <v>289406976</v>
      </c>
      <c r="K14" s="1">
        <v>42734.425694444442</v>
      </c>
      <c r="L14">
        <v>3304.51</v>
      </c>
      <c r="M14">
        <v>3304.96</v>
      </c>
      <c r="N14">
        <v>3304.1</v>
      </c>
      <c r="O14">
        <v>3304.3</v>
      </c>
      <c r="P14">
        <v>275337</v>
      </c>
      <c r="Q14">
        <v>2699150</v>
      </c>
      <c r="R14">
        <f t="shared" si="1"/>
        <v>0.96830314752945312</v>
      </c>
      <c r="S14">
        <f t="shared" si="2"/>
        <v>107.22152381305226</v>
      </c>
    </row>
    <row r="15" spans="1:19" x14ac:dyDescent="0.25">
      <c r="A15" s="3">
        <v>42734</v>
      </c>
      <c r="B15" s="4">
        <v>0.42708333333333331</v>
      </c>
      <c r="C15" s="1">
        <f t="shared" si="0"/>
        <v>42734.427083333336</v>
      </c>
      <c r="D15">
        <v>3304.38</v>
      </c>
      <c r="E15">
        <v>3304.8</v>
      </c>
      <c r="F15">
        <v>3304.09</v>
      </c>
      <c r="G15">
        <v>3304.35</v>
      </c>
      <c r="H15">
        <v>272717</v>
      </c>
      <c r="I15">
        <v>275570688</v>
      </c>
      <c r="K15" s="1">
        <v>42734.426388888889</v>
      </c>
      <c r="L15">
        <v>3304.3</v>
      </c>
      <c r="M15">
        <v>3304.8</v>
      </c>
      <c r="N15">
        <v>3304.09</v>
      </c>
      <c r="O15">
        <v>3304.42</v>
      </c>
      <c r="P15">
        <v>253293</v>
      </c>
      <c r="Q15">
        <v>2679599</v>
      </c>
      <c r="R15">
        <f t="shared" si="1"/>
        <v>0.9287759838953934</v>
      </c>
      <c r="S15">
        <f t="shared" si="2"/>
        <v>102.84027124954144</v>
      </c>
    </row>
    <row r="16" spans="1:19" x14ac:dyDescent="0.25">
      <c r="A16" s="3">
        <v>42734</v>
      </c>
      <c r="B16" s="4">
        <v>0.42777777777777781</v>
      </c>
      <c r="C16" s="1">
        <f t="shared" si="0"/>
        <v>42734.427777777775</v>
      </c>
      <c r="D16">
        <v>3304.06</v>
      </c>
      <c r="E16">
        <v>3304.24</v>
      </c>
      <c r="F16">
        <v>3303.15</v>
      </c>
      <c r="G16">
        <v>3303.15</v>
      </c>
      <c r="H16">
        <v>309802</v>
      </c>
      <c r="I16">
        <v>323035136</v>
      </c>
      <c r="K16" s="1">
        <v>42734.427083333336</v>
      </c>
      <c r="L16">
        <v>3304.23</v>
      </c>
      <c r="M16">
        <v>3304.35</v>
      </c>
      <c r="N16">
        <v>3303.38</v>
      </c>
      <c r="O16">
        <v>3303.38</v>
      </c>
      <c r="P16">
        <v>314591</v>
      </c>
      <c r="Q16">
        <v>3218507</v>
      </c>
      <c r="R16">
        <f t="shared" si="1"/>
        <v>1.0154582604373115</v>
      </c>
      <c r="S16">
        <f t="shared" si="2"/>
        <v>100.3680078993148</v>
      </c>
    </row>
    <row r="17" spans="1:19" x14ac:dyDescent="0.25">
      <c r="A17" s="3">
        <v>42734</v>
      </c>
      <c r="B17" s="4">
        <v>0.4284722222222222</v>
      </c>
      <c r="C17" s="1">
        <f t="shared" si="0"/>
        <v>42734.428472222222</v>
      </c>
      <c r="D17">
        <v>3303.25</v>
      </c>
      <c r="E17">
        <v>3303.25</v>
      </c>
      <c r="F17">
        <v>3302.24</v>
      </c>
      <c r="G17">
        <v>3302.42</v>
      </c>
      <c r="H17">
        <v>233328</v>
      </c>
      <c r="I17">
        <v>270653440</v>
      </c>
      <c r="K17" s="1">
        <v>42734.427777777775</v>
      </c>
      <c r="L17">
        <v>3303.18</v>
      </c>
      <c r="M17">
        <v>3303.25</v>
      </c>
      <c r="N17">
        <v>3302.24</v>
      </c>
      <c r="O17">
        <v>3302.24</v>
      </c>
      <c r="P17">
        <v>258397</v>
      </c>
      <c r="Q17">
        <v>2869224</v>
      </c>
      <c r="R17">
        <f t="shared" si="1"/>
        <v>1.1074410272234794</v>
      </c>
      <c r="S17">
        <f t="shared" si="2"/>
        <v>94.329839705788046</v>
      </c>
    </row>
    <row r="18" spans="1:19" x14ac:dyDescent="0.25">
      <c r="A18" s="3">
        <v>42734</v>
      </c>
      <c r="B18" s="4">
        <v>0.4291666666666667</v>
      </c>
      <c r="C18" s="1">
        <f t="shared" si="0"/>
        <v>42734.429166666669</v>
      </c>
      <c r="D18">
        <v>3302.14</v>
      </c>
      <c r="E18">
        <v>3302.35</v>
      </c>
      <c r="F18">
        <v>3301.36</v>
      </c>
      <c r="G18">
        <v>3301.42</v>
      </c>
      <c r="H18">
        <v>284176</v>
      </c>
      <c r="I18">
        <v>293449728</v>
      </c>
      <c r="K18" s="1">
        <v>42734.428472222222</v>
      </c>
      <c r="L18">
        <v>3302.47</v>
      </c>
      <c r="M18">
        <v>3302.47</v>
      </c>
      <c r="N18">
        <v>3301.36</v>
      </c>
      <c r="O18">
        <v>3301.36</v>
      </c>
      <c r="P18">
        <v>258352</v>
      </c>
      <c r="Q18">
        <v>2857006</v>
      </c>
      <c r="R18">
        <f t="shared" si="1"/>
        <v>0.90912673835932667</v>
      </c>
      <c r="S18">
        <f t="shared" si="2"/>
        <v>102.7123247203541</v>
      </c>
    </row>
    <row r="19" spans="1:19" x14ac:dyDescent="0.25">
      <c r="A19" s="3">
        <v>42734</v>
      </c>
      <c r="B19" s="4">
        <v>0.42986111111111108</v>
      </c>
      <c r="C19" s="1">
        <f t="shared" si="0"/>
        <v>42734.429861111108</v>
      </c>
      <c r="D19">
        <v>3301.47</v>
      </c>
      <c r="E19">
        <v>3301.8</v>
      </c>
      <c r="F19">
        <v>3301.1</v>
      </c>
      <c r="G19">
        <v>3301.1</v>
      </c>
      <c r="H19">
        <v>256436</v>
      </c>
      <c r="I19">
        <v>278198272</v>
      </c>
      <c r="K19" s="1">
        <v>42734.429166666669</v>
      </c>
      <c r="L19">
        <v>3301.54</v>
      </c>
      <c r="M19">
        <v>3301.8</v>
      </c>
      <c r="N19">
        <v>3301.12</v>
      </c>
      <c r="O19">
        <v>3301.26</v>
      </c>
      <c r="P19">
        <v>279289</v>
      </c>
      <c r="Q19">
        <v>2856912</v>
      </c>
      <c r="R19">
        <f t="shared" si="1"/>
        <v>1.0891177525776412</v>
      </c>
      <c r="S19">
        <f t="shared" si="2"/>
        <v>97.377263282873258</v>
      </c>
    </row>
    <row r="20" spans="1:19" x14ac:dyDescent="0.25">
      <c r="A20" s="3">
        <v>42734</v>
      </c>
      <c r="B20" s="4">
        <v>0.43055555555555558</v>
      </c>
      <c r="C20" s="1">
        <f t="shared" si="0"/>
        <v>42734.430555555555</v>
      </c>
      <c r="D20">
        <v>3301.35</v>
      </c>
      <c r="E20">
        <v>3302.1</v>
      </c>
      <c r="F20">
        <v>3301</v>
      </c>
      <c r="G20">
        <v>3302.05</v>
      </c>
      <c r="H20">
        <v>278944</v>
      </c>
      <c r="I20">
        <v>301680640</v>
      </c>
      <c r="K20" s="1">
        <v>42734.429861111108</v>
      </c>
      <c r="L20">
        <v>3301.47</v>
      </c>
      <c r="M20">
        <v>3302.1</v>
      </c>
      <c r="N20">
        <v>3301</v>
      </c>
      <c r="O20">
        <v>3301.52</v>
      </c>
      <c r="P20">
        <v>284281</v>
      </c>
      <c r="Q20">
        <v>3142795</v>
      </c>
      <c r="R20">
        <f t="shared" si="1"/>
        <v>1.019132872547895</v>
      </c>
      <c r="S20">
        <f t="shared" si="2"/>
        <v>95.991192553125487</v>
      </c>
    </row>
    <row r="21" spans="1:19" x14ac:dyDescent="0.25">
      <c r="A21" s="3">
        <v>42734</v>
      </c>
      <c r="B21" s="4">
        <v>0.43124999999999997</v>
      </c>
      <c r="C21" s="1">
        <f t="shared" si="0"/>
        <v>42734.431250000001</v>
      </c>
      <c r="D21">
        <v>3301.95</v>
      </c>
      <c r="E21">
        <v>3302.21</v>
      </c>
      <c r="F21">
        <v>3301.49</v>
      </c>
      <c r="G21">
        <v>3301.86</v>
      </c>
      <c r="H21">
        <v>316176</v>
      </c>
      <c r="I21">
        <v>300976128</v>
      </c>
      <c r="K21" s="1">
        <v>42734.430555555555</v>
      </c>
      <c r="L21">
        <v>3302.05</v>
      </c>
      <c r="M21">
        <v>3302.21</v>
      </c>
      <c r="N21">
        <v>3301.49</v>
      </c>
      <c r="O21">
        <v>3301.81</v>
      </c>
      <c r="P21">
        <v>316395</v>
      </c>
      <c r="Q21">
        <v>2964683</v>
      </c>
      <c r="R21">
        <f t="shared" si="1"/>
        <v>1.0006926521937149</v>
      </c>
      <c r="S21">
        <f t="shared" si="2"/>
        <v>101.52050927535929</v>
      </c>
    </row>
    <row r="22" spans="1:19" x14ac:dyDescent="0.25">
      <c r="A22" s="3">
        <v>42734</v>
      </c>
      <c r="B22" s="4">
        <v>0.43194444444444446</v>
      </c>
      <c r="C22" s="1">
        <f t="shared" si="0"/>
        <v>42734.431944444441</v>
      </c>
      <c r="D22">
        <v>3301.86</v>
      </c>
      <c r="E22">
        <v>3302.21</v>
      </c>
      <c r="F22">
        <v>3301.58</v>
      </c>
      <c r="G22">
        <v>3301.98</v>
      </c>
      <c r="H22">
        <v>222708</v>
      </c>
      <c r="I22">
        <v>248905728</v>
      </c>
      <c r="K22" s="1">
        <v>42734.431250000001</v>
      </c>
      <c r="L22">
        <v>3301.86</v>
      </c>
      <c r="M22">
        <v>3302.21</v>
      </c>
      <c r="N22">
        <v>3301.58</v>
      </c>
      <c r="O22">
        <v>3302.08</v>
      </c>
      <c r="P22">
        <v>219962</v>
      </c>
      <c r="Q22">
        <v>2543533</v>
      </c>
      <c r="R22">
        <f t="shared" si="1"/>
        <v>0.98766995348168907</v>
      </c>
      <c r="S22">
        <f t="shared" si="2"/>
        <v>97.85826564860767</v>
      </c>
    </row>
    <row r="23" spans="1:19" x14ac:dyDescent="0.25">
      <c r="A23" s="3">
        <v>42734</v>
      </c>
      <c r="B23" s="4">
        <v>0.43263888888888885</v>
      </c>
      <c r="C23" s="1">
        <f t="shared" si="0"/>
        <v>42734.432638888888</v>
      </c>
      <c r="D23">
        <v>3301.88</v>
      </c>
      <c r="E23">
        <v>3302.35</v>
      </c>
      <c r="F23">
        <v>3301.58</v>
      </c>
      <c r="G23">
        <v>3302.25</v>
      </c>
      <c r="H23">
        <v>221672</v>
      </c>
      <c r="I23">
        <v>237586432</v>
      </c>
      <c r="K23" s="1">
        <v>42734.431944444441</v>
      </c>
      <c r="L23">
        <v>3301.98</v>
      </c>
      <c r="M23">
        <v>3302.35</v>
      </c>
      <c r="N23">
        <v>3301.58</v>
      </c>
      <c r="O23">
        <v>3302.33</v>
      </c>
      <c r="P23">
        <v>214137</v>
      </c>
      <c r="Q23">
        <v>2234414</v>
      </c>
      <c r="R23">
        <f t="shared" si="1"/>
        <v>0.96600833664152441</v>
      </c>
      <c r="S23">
        <f t="shared" si="2"/>
        <v>106.33053319572828</v>
      </c>
    </row>
    <row r="24" spans="1:19" x14ac:dyDescent="0.25">
      <c r="A24" s="3">
        <v>42734</v>
      </c>
      <c r="B24" s="4">
        <v>0.43333333333333335</v>
      </c>
      <c r="C24" s="1">
        <f t="shared" si="0"/>
        <v>42734.433333333334</v>
      </c>
      <c r="D24">
        <v>3302.23</v>
      </c>
      <c r="E24">
        <v>3302.46</v>
      </c>
      <c r="F24">
        <v>3301.45</v>
      </c>
      <c r="G24">
        <v>3302.19</v>
      </c>
      <c r="H24">
        <v>219278</v>
      </c>
      <c r="I24">
        <v>234485760</v>
      </c>
      <c r="K24" s="1">
        <v>42734.432638888888</v>
      </c>
      <c r="L24">
        <v>3302.25</v>
      </c>
      <c r="M24">
        <v>3302.46</v>
      </c>
      <c r="N24">
        <v>3301.45</v>
      </c>
      <c r="O24">
        <v>3302.28</v>
      </c>
      <c r="P24">
        <v>241231</v>
      </c>
      <c r="Q24">
        <v>2574481</v>
      </c>
      <c r="R24">
        <f t="shared" si="1"/>
        <v>1.1001149226096554</v>
      </c>
      <c r="S24">
        <f t="shared" si="2"/>
        <v>91.080788710423576</v>
      </c>
    </row>
    <row r="25" spans="1:19" x14ac:dyDescent="0.25">
      <c r="A25" s="3">
        <v>42734</v>
      </c>
      <c r="B25" s="4">
        <v>0.43402777777777773</v>
      </c>
      <c r="C25" s="1">
        <f t="shared" si="0"/>
        <v>42734.434027777781</v>
      </c>
      <c r="D25">
        <v>3302.23</v>
      </c>
      <c r="E25">
        <v>3302.72</v>
      </c>
      <c r="F25">
        <v>3301.99</v>
      </c>
      <c r="G25">
        <v>3302.28</v>
      </c>
      <c r="H25">
        <v>185172</v>
      </c>
      <c r="I25">
        <v>198795264</v>
      </c>
      <c r="K25" s="1">
        <v>42734.433333333334</v>
      </c>
      <c r="L25">
        <v>3302.19</v>
      </c>
      <c r="M25">
        <v>3302.72</v>
      </c>
      <c r="N25">
        <v>3301.99</v>
      </c>
      <c r="O25">
        <v>3302.17</v>
      </c>
      <c r="P25">
        <v>170462</v>
      </c>
      <c r="Q25">
        <v>1815813</v>
      </c>
      <c r="R25">
        <f t="shared" si="1"/>
        <v>0.92056034389648544</v>
      </c>
      <c r="S25">
        <f t="shared" si="2"/>
        <v>109.48003125872543</v>
      </c>
    </row>
    <row r="26" spans="1:19" x14ac:dyDescent="0.25">
      <c r="A26" s="3">
        <v>42734</v>
      </c>
      <c r="B26" s="4">
        <v>0.43472222222222223</v>
      </c>
      <c r="C26" s="1">
        <f t="shared" si="0"/>
        <v>42734.43472222222</v>
      </c>
      <c r="D26">
        <v>3302.65</v>
      </c>
      <c r="E26">
        <v>3302.96</v>
      </c>
      <c r="F26">
        <v>3302.34</v>
      </c>
      <c r="G26">
        <v>3302.65</v>
      </c>
      <c r="H26">
        <v>190774</v>
      </c>
      <c r="I26">
        <v>208918528</v>
      </c>
      <c r="K26" s="1">
        <v>42734.434027777781</v>
      </c>
      <c r="L26">
        <v>3302.55</v>
      </c>
      <c r="M26">
        <v>3302.96</v>
      </c>
      <c r="N26">
        <v>3302.28</v>
      </c>
      <c r="O26">
        <v>3302.9</v>
      </c>
      <c r="P26">
        <v>192218</v>
      </c>
      <c r="Q26">
        <v>2139241</v>
      </c>
      <c r="R26">
        <f t="shared" si="1"/>
        <v>1.0075691656095693</v>
      </c>
      <c r="S26">
        <f t="shared" si="2"/>
        <v>97.660117770742048</v>
      </c>
    </row>
    <row r="27" spans="1:19" x14ac:dyDescent="0.25">
      <c r="A27" s="3">
        <v>42734</v>
      </c>
      <c r="B27" s="4">
        <v>0.43541666666666662</v>
      </c>
      <c r="C27" s="1">
        <f t="shared" si="0"/>
        <v>42734.435416666667</v>
      </c>
      <c r="D27">
        <v>3302.64</v>
      </c>
      <c r="E27">
        <v>3303.36</v>
      </c>
      <c r="F27">
        <v>3302.42</v>
      </c>
      <c r="G27">
        <v>3303.36</v>
      </c>
      <c r="H27">
        <v>204580</v>
      </c>
      <c r="I27">
        <v>234389504</v>
      </c>
      <c r="K27" s="1">
        <v>42734.43472222222</v>
      </c>
      <c r="L27">
        <v>3302.74</v>
      </c>
      <c r="M27">
        <v>3303.18</v>
      </c>
      <c r="N27">
        <v>3302.42</v>
      </c>
      <c r="O27">
        <v>3303.06</v>
      </c>
      <c r="P27">
        <v>213973</v>
      </c>
      <c r="Q27">
        <v>2451002</v>
      </c>
      <c r="R27">
        <f t="shared" si="1"/>
        <v>1.0459135790399843</v>
      </c>
      <c r="S27">
        <f t="shared" si="2"/>
        <v>95.630074557262702</v>
      </c>
    </row>
    <row r="28" spans="1:19" x14ac:dyDescent="0.25">
      <c r="A28" s="3">
        <v>42734</v>
      </c>
      <c r="B28" s="4">
        <v>0.43611111111111112</v>
      </c>
      <c r="C28" s="1">
        <f t="shared" si="0"/>
        <v>42734.436111111114</v>
      </c>
      <c r="D28">
        <v>3303.39</v>
      </c>
      <c r="E28">
        <v>3303.84</v>
      </c>
      <c r="F28">
        <v>3303.17</v>
      </c>
      <c r="G28">
        <v>3303.71</v>
      </c>
      <c r="H28">
        <v>269532</v>
      </c>
      <c r="I28">
        <v>268978176</v>
      </c>
      <c r="K28" s="1">
        <v>42734.435416666667</v>
      </c>
      <c r="L28">
        <v>3303.36</v>
      </c>
      <c r="M28">
        <v>3303.84</v>
      </c>
      <c r="N28">
        <v>3303.17</v>
      </c>
      <c r="O28">
        <v>3303.84</v>
      </c>
      <c r="P28">
        <v>253749</v>
      </c>
      <c r="Q28">
        <v>2462399</v>
      </c>
      <c r="R28">
        <f t="shared" si="1"/>
        <v>0.94144294555006458</v>
      </c>
      <c r="S28">
        <f t="shared" si="2"/>
        <v>109.23419640764962</v>
      </c>
    </row>
    <row r="29" spans="1:19" x14ac:dyDescent="0.25">
      <c r="A29" s="3">
        <v>42734</v>
      </c>
      <c r="B29" s="4">
        <v>0.4368055555555555</v>
      </c>
      <c r="C29" s="1">
        <f t="shared" si="0"/>
        <v>42734.436805555553</v>
      </c>
      <c r="D29">
        <v>3303.86</v>
      </c>
      <c r="E29">
        <v>3304.5</v>
      </c>
      <c r="F29">
        <v>3303.86</v>
      </c>
      <c r="G29">
        <v>3304.5</v>
      </c>
      <c r="H29">
        <v>224136</v>
      </c>
      <c r="I29">
        <v>240855040</v>
      </c>
      <c r="K29" s="1">
        <v>42734.436111111114</v>
      </c>
      <c r="L29">
        <v>3303.59</v>
      </c>
      <c r="M29">
        <v>3304.4</v>
      </c>
      <c r="N29">
        <v>3303.59</v>
      </c>
      <c r="O29">
        <v>3304.26</v>
      </c>
      <c r="P29">
        <v>212613</v>
      </c>
      <c r="Q29">
        <v>2393569</v>
      </c>
      <c r="R29">
        <f t="shared" si="1"/>
        <v>0.94858924938430234</v>
      </c>
      <c r="S29">
        <f t="shared" si="2"/>
        <v>100.62590215698816</v>
      </c>
    </row>
    <row r="30" spans="1:19" x14ac:dyDescent="0.25">
      <c r="A30" s="3">
        <v>42734</v>
      </c>
      <c r="B30" s="4">
        <v>0.4375</v>
      </c>
      <c r="C30" s="1">
        <f t="shared" si="0"/>
        <v>42734.4375</v>
      </c>
      <c r="D30">
        <v>3304.62</v>
      </c>
      <c r="E30">
        <v>3304.89</v>
      </c>
      <c r="F30">
        <v>3304.19</v>
      </c>
      <c r="G30">
        <v>3304.89</v>
      </c>
      <c r="H30">
        <v>258558</v>
      </c>
      <c r="I30">
        <v>237854720</v>
      </c>
      <c r="K30" s="1">
        <v>42734.436805555553</v>
      </c>
      <c r="L30">
        <v>3304.11</v>
      </c>
      <c r="M30">
        <v>3304.7</v>
      </c>
      <c r="N30">
        <v>3304.11</v>
      </c>
      <c r="O30">
        <v>3304.69</v>
      </c>
      <c r="P30">
        <v>288435</v>
      </c>
      <c r="Q30">
        <v>2629623</v>
      </c>
      <c r="R30">
        <f t="shared" si="1"/>
        <v>1.1155524099041607</v>
      </c>
      <c r="S30">
        <f t="shared" si="2"/>
        <v>90.45202297059312</v>
      </c>
    </row>
    <row r="31" spans="1:19" x14ac:dyDescent="0.25">
      <c r="A31" s="3">
        <v>42734</v>
      </c>
      <c r="B31" s="4">
        <v>0.4381944444444445</v>
      </c>
      <c r="C31" s="1">
        <f t="shared" si="0"/>
        <v>42734.438194444447</v>
      </c>
      <c r="D31">
        <v>3304.93</v>
      </c>
      <c r="E31">
        <v>3305.23</v>
      </c>
      <c r="F31">
        <v>3304.48</v>
      </c>
      <c r="G31">
        <v>3304.5</v>
      </c>
      <c r="H31">
        <v>194664</v>
      </c>
      <c r="I31">
        <v>223082496</v>
      </c>
      <c r="K31" s="1">
        <v>42734.4375</v>
      </c>
      <c r="L31">
        <v>3304.89</v>
      </c>
      <c r="M31">
        <v>3305.23</v>
      </c>
      <c r="N31">
        <v>3304.57</v>
      </c>
      <c r="O31">
        <v>3305.23</v>
      </c>
      <c r="P31">
        <v>179096</v>
      </c>
      <c r="Q31">
        <v>2067455</v>
      </c>
      <c r="R31">
        <f t="shared" si="1"/>
        <v>0.92002630173016064</v>
      </c>
      <c r="S31">
        <f t="shared" si="2"/>
        <v>107.90198384003521</v>
      </c>
    </row>
    <row r="32" spans="1:19" x14ac:dyDescent="0.25">
      <c r="K32" s="1">
        <v>42734.438194444447</v>
      </c>
      <c r="L32">
        <v>3304.48</v>
      </c>
      <c r="M32">
        <v>3305.13</v>
      </c>
      <c r="N32">
        <v>3304.43</v>
      </c>
      <c r="O32">
        <v>3304.87</v>
      </c>
      <c r="P32">
        <v>187222</v>
      </c>
      <c r="Q32">
        <v>2151038</v>
      </c>
      <c r="R32" t="e">
        <f t="shared" si="1"/>
        <v>#DIV/0!</v>
      </c>
      <c r="S32">
        <f t="shared" si="2"/>
        <v>0</v>
      </c>
    </row>
    <row r="36" spans="1:17" x14ac:dyDescent="0.25">
      <c r="A36" s="9" t="s">
        <v>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5">
      <c r="A37" s="3">
        <v>42838</v>
      </c>
      <c r="B37" s="4">
        <v>0.39652777777777781</v>
      </c>
      <c r="C37">
        <v>3500.28</v>
      </c>
      <c r="D37">
        <v>3500.28</v>
      </c>
      <c r="E37">
        <v>3496.59</v>
      </c>
      <c r="F37">
        <v>3496.86</v>
      </c>
      <c r="G37">
        <v>5525281</v>
      </c>
      <c r="H37">
        <v>4676330496</v>
      </c>
      <c r="K37" s="1">
        <v>42838.395833333336</v>
      </c>
      <c r="L37">
        <v>3500.28</v>
      </c>
      <c r="M37">
        <v>3500.28</v>
      </c>
      <c r="N37">
        <v>3496.59</v>
      </c>
      <c r="O37">
        <v>3497.34</v>
      </c>
      <c r="P37">
        <v>519598300</v>
      </c>
      <c r="Q37">
        <v>4405966300</v>
      </c>
    </row>
    <row r="38" spans="1:17" x14ac:dyDescent="0.25">
      <c r="A38" s="3">
        <v>42838</v>
      </c>
      <c r="B38" s="4">
        <v>0.3972222222222222</v>
      </c>
      <c r="C38">
        <v>3497.16</v>
      </c>
      <c r="D38">
        <v>3499.83</v>
      </c>
      <c r="E38">
        <v>3496.92</v>
      </c>
      <c r="F38">
        <v>3499.83</v>
      </c>
      <c r="G38">
        <v>1703766</v>
      </c>
      <c r="H38">
        <v>1569052672</v>
      </c>
      <c r="K38" s="1">
        <v>42838.396527777775</v>
      </c>
      <c r="L38">
        <v>3496.76</v>
      </c>
      <c r="M38">
        <v>3498.67</v>
      </c>
      <c r="N38">
        <v>3496.57</v>
      </c>
      <c r="O38">
        <v>3498.45</v>
      </c>
      <c r="P38">
        <v>175129900</v>
      </c>
      <c r="Q38">
        <v>1586303800</v>
      </c>
    </row>
    <row r="39" spans="1:17" x14ac:dyDescent="0.25">
      <c r="A39" s="3">
        <v>42838</v>
      </c>
      <c r="B39" s="4">
        <v>0.3979166666666667</v>
      </c>
      <c r="C39">
        <v>3499.61</v>
      </c>
      <c r="D39">
        <v>3503.34</v>
      </c>
      <c r="E39">
        <v>3499.61</v>
      </c>
      <c r="F39">
        <v>3503.34</v>
      </c>
      <c r="G39">
        <v>1611082</v>
      </c>
      <c r="H39">
        <v>1395252736</v>
      </c>
      <c r="K39" s="1">
        <v>42838.397222222222</v>
      </c>
      <c r="L39">
        <v>3498.96</v>
      </c>
      <c r="M39">
        <v>3502.61</v>
      </c>
      <c r="N39">
        <v>3498.96</v>
      </c>
      <c r="O39">
        <v>3502.61</v>
      </c>
      <c r="P39">
        <v>158728900</v>
      </c>
      <c r="Q39">
        <v>1413864800</v>
      </c>
    </row>
    <row r="40" spans="1:17" x14ac:dyDescent="0.25">
      <c r="A40" s="3">
        <v>42838</v>
      </c>
      <c r="B40" s="4">
        <v>0.39861111111111108</v>
      </c>
      <c r="C40">
        <v>3503.15</v>
      </c>
      <c r="D40">
        <v>3505.01</v>
      </c>
      <c r="E40">
        <v>3503.15</v>
      </c>
      <c r="F40">
        <v>3505.01</v>
      </c>
      <c r="G40">
        <v>1832945</v>
      </c>
      <c r="H40">
        <v>1483632128</v>
      </c>
      <c r="K40" s="1">
        <v>42838.397916666669</v>
      </c>
      <c r="L40">
        <v>3503.05</v>
      </c>
      <c r="M40">
        <v>3504.94</v>
      </c>
      <c r="N40">
        <v>3503.05</v>
      </c>
      <c r="O40">
        <v>3504.87</v>
      </c>
      <c r="P40">
        <v>182196600</v>
      </c>
      <c r="Q40">
        <v>1469533400</v>
      </c>
    </row>
    <row r="41" spans="1:17" x14ac:dyDescent="0.25">
      <c r="A41" s="3">
        <v>42838</v>
      </c>
      <c r="B41" s="4">
        <v>0.39930555555555558</v>
      </c>
      <c r="C41">
        <v>3505.71</v>
      </c>
      <c r="D41">
        <v>3507.24</v>
      </c>
      <c r="E41">
        <v>3505.71</v>
      </c>
      <c r="F41">
        <v>3507.24</v>
      </c>
      <c r="G41">
        <v>1705876</v>
      </c>
      <c r="H41">
        <v>1463548928</v>
      </c>
      <c r="K41" s="1">
        <v>42838.398611111108</v>
      </c>
      <c r="L41">
        <v>3504.85</v>
      </c>
      <c r="M41">
        <v>3506.94</v>
      </c>
      <c r="N41">
        <v>3504.85</v>
      </c>
      <c r="O41">
        <v>3506.7</v>
      </c>
      <c r="P41">
        <v>180989400</v>
      </c>
      <c r="Q41">
        <v>1514229500</v>
      </c>
    </row>
    <row r="42" spans="1:17" x14ac:dyDescent="0.25">
      <c r="A42" s="3">
        <v>42838</v>
      </c>
      <c r="B42" s="4">
        <v>0.39999999999999997</v>
      </c>
      <c r="C42">
        <v>3507.49</v>
      </c>
      <c r="D42">
        <v>3508.78</v>
      </c>
      <c r="E42">
        <v>3507.33</v>
      </c>
      <c r="F42">
        <v>3508.78</v>
      </c>
      <c r="G42">
        <v>1240287</v>
      </c>
      <c r="H42">
        <v>1154725888</v>
      </c>
      <c r="K42" s="1">
        <v>42838.399305555555</v>
      </c>
      <c r="L42">
        <v>3506.88</v>
      </c>
      <c r="M42">
        <v>3508.44</v>
      </c>
      <c r="N42">
        <v>3506.88</v>
      </c>
      <c r="O42">
        <v>3508.14</v>
      </c>
      <c r="P42">
        <v>125862300</v>
      </c>
      <c r="Q42">
        <v>1158942400</v>
      </c>
    </row>
    <row r="43" spans="1:17" x14ac:dyDescent="0.25">
      <c r="A43" s="3">
        <v>42838</v>
      </c>
      <c r="B43" s="4">
        <v>0.40069444444444446</v>
      </c>
      <c r="C43">
        <v>3508.34</v>
      </c>
      <c r="D43">
        <v>3508.8</v>
      </c>
      <c r="E43">
        <v>3507.64</v>
      </c>
      <c r="F43">
        <v>3507.64</v>
      </c>
      <c r="G43">
        <v>1262729</v>
      </c>
      <c r="H43">
        <v>1202076672</v>
      </c>
      <c r="K43" s="1">
        <v>42838.400000000001</v>
      </c>
      <c r="L43">
        <v>3508.04</v>
      </c>
      <c r="M43">
        <v>3508.8</v>
      </c>
      <c r="N43">
        <v>3507.83</v>
      </c>
      <c r="O43">
        <v>3508.17</v>
      </c>
      <c r="P43">
        <v>125600700</v>
      </c>
      <c r="Q43">
        <v>1197388300</v>
      </c>
    </row>
    <row r="44" spans="1:17" x14ac:dyDescent="0.25">
      <c r="A44" s="3">
        <v>42838</v>
      </c>
      <c r="B44" s="4">
        <v>0.40138888888888885</v>
      </c>
      <c r="C44">
        <v>3507.9</v>
      </c>
      <c r="D44">
        <v>3508.06</v>
      </c>
      <c r="E44">
        <v>3507.65</v>
      </c>
      <c r="F44">
        <v>3507.84</v>
      </c>
      <c r="G44">
        <v>999017</v>
      </c>
      <c r="H44">
        <v>1020513280</v>
      </c>
      <c r="K44" s="1">
        <v>42838.400694444441</v>
      </c>
      <c r="L44">
        <v>3507.77</v>
      </c>
      <c r="M44">
        <v>3508.06</v>
      </c>
      <c r="N44">
        <v>3507.64</v>
      </c>
      <c r="O44">
        <v>3507.8</v>
      </c>
      <c r="P44">
        <v>105502800</v>
      </c>
      <c r="Q44">
        <v>1069083400</v>
      </c>
    </row>
    <row r="45" spans="1:17" x14ac:dyDescent="0.25">
      <c r="A45" s="3">
        <v>42838</v>
      </c>
      <c r="B45" s="4">
        <v>0.40208333333333335</v>
      </c>
      <c r="C45">
        <v>3508.22</v>
      </c>
      <c r="D45">
        <v>3508.33</v>
      </c>
      <c r="E45">
        <v>3507.76</v>
      </c>
      <c r="F45">
        <v>3508.33</v>
      </c>
      <c r="G45">
        <v>1186733</v>
      </c>
      <c r="H45">
        <v>1128764416</v>
      </c>
      <c r="K45" s="1">
        <v>42838.401388888888</v>
      </c>
      <c r="L45">
        <v>3508.05</v>
      </c>
      <c r="M45">
        <v>3508.22</v>
      </c>
      <c r="N45">
        <v>3507.76</v>
      </c>
      <c r="O45">
        <v>3507.92</v>
      </c>
      <c r="P45">
        <v>116342800</v>
      </c>
      <c r="Q45">
        <v>1112951200</v>
      </c>
    </row>
    <row r="46" spans="1:17" x14ac:dyDescent="0.25">
      <c r="A46" s="3">
        <v>42838</v>
      </c>
      <c r="B46" s="4">
        <v>0.40277777777777773</v>
      </c>
      <c r="C46">
        <v>3508.35</v>
      </c>
      <c r="D46">
        <v>3508.71</v>
      </c>
      <c r="E46">
        <v>3507.51</v>
      </c>
      <c r="F46">
        <v>3507.51</v>
      </c>
      <c r="G46">
        <v>948904</v>
      </c>
      <c r="H46">
        <v>927849472</v>
      </c>
      <c r="K46" s="1">
        <v>42838.402083333334</v>
      </c>
      <c r="L46">
        <v>3508.26</v>
      </c>
      <c r="M46">
        <v>3508.71</v>
      </c>
      <c r="N46">
        <v>3507.77</v>
      </c>
      <c r="O46">
        <v>3507.77</v>
      </c>
      <c r="P46">
        <v>98979600</v>
      </c>
      <c r="Q46">
        <v>963352900</v>
      </c>
    </row>
    <row r="47" spans="1:17" x14ac:dyDescent="0.25">
      <c r="A47" s="3">
        <v>42838</v>
      </c>
      <c r="B47" s="4">
        <v>0.40347222222222223</v>
      </c>
      <c r="C47">
        <v>3507.5</v>
      </c>
      <c r="D47">
        <v>3507.82</v>
      </c>
      <c r="E47">
        <v>3507.14</v>
      </c>
      <c r="F47">
        <v>3507.3</v>
      </c>
      <c r="G47">
        <v>827136</v>
      </c>
      <c r="H47">
        <v>860268544</v>
      </c>
      <c r="K47" s="1">
        <v>42838.402777777781</v>
      </c>
      <c r="L47">
        <v>3508.27</v>
      </c>
      <c r="M47">
        <v>3508.27</v>
      </c>
      <c r="N47">
        <v>3507.17</v>
      </c>
      <c r="O47">
        <v>3507.18</v>
      </c>
      <c r="P47">
        <v>84490400</v>
      </c>
      <c r="Q47">
        <v>871882000</v>
      </c>
    </row>
    <row r="48" spans="1:17" x14ac:dyDescent="0.25">
      <c r="A48" s="3">
        <v>42838</v>
      </c>
      <c r="B48" s="4">
        <v>0.40416666666666662</v>
      </c>
      <c r="C48">
        <v>3507.12</v>
      </c>
      <c r="D48">
        <v>3507.74</v>
      </c>
      <c r="E48">
        <v>3506.71</v>
      </c>
      <c r="F48">
        <v>3506.71</v>
      </c>
      <c r="G48">
        <v>885766</v>
      </c>
      <c r="H48">
        <v>880768000</v>
      </c>
      <c r="K48" s="1">
        <v>42838.40347222222</v>
      </c>
      <c r="L48">
        <v>3507.14</v>
      </c>
      <c r="M48">
        <v>3507.74</v>
      </c>
      <c r="N48">
        <v>3506.87</v>
      </c>
      <c r="O48">
        <v>3506.88</v>
      </c>
      <c r="P48">
        <v>91201500</v>
      </c>
      <c r="Q48">
        <v>911653100</v>
      </c>
    </row>
    <row r="49" spans="1:17" x14ac:dyDescent="0.25">
      <c r="A49" s="3">
        <v>42838</v>
      </c>
      <c r="B49" s="4">
        <v>0.40486111111111112</v>
      </c>
      <c r="C49">
        <v>3506.72</v>
      </c>
      <c r="D49">
        <v>3506.89</v>
      </c>
      <c r="E49">
        <v>3506.46</v>
      </c>
      <c r="F49">
        <v>3506.46</v>
      </c>
      <c r="G49">
        <v>1026430</v>
      </c>
      <c r="H49">
        <v>1031692288</v>
      </c>
      <c r="K49" s="1">
        <v>42838.404166666667</v>
      </c>
      <c r="L49">
        <v>3506.71</v>
      </c>
      <c r="M49">
        <v>3506.89</v>
      </c>
      <c r="N49">
        <v>3506.49</v>
      </c>
      <c r="O49">
        <v>3506.49</v>
      </c>
      <c r="P49">
        <v>100598800</v>
      </c>
      <c r="Q49">
        <v>1017292800</v>
      </c>
    </row>
    <row r="50" spans="1:17" x14ac:dyDescent="0.25">
      <c r="A50" s="3">
        <v>42838</v>
      </c>
      <c r="B50" s="4">
        <v>0.4055555555555555</v>
      </c>
      <c r="C50">
        <v>3506</v>
      </c>
      <c r="D50">
        <v>3506.38</v>
      </c>
      <c r="E50">
        <v>3505.74</v>
      </c>
      <c r="F50">
        <v>3506.03</v>
      </c>
      <c r="G50">
        <v>974724</v>
      </c>
      <c r="H50">
        <v>956190720</v>
      </c>
      <c r="K50" s="1">
        <v>42838.404861111114</v>
      </c>
      <c r="L50">
        <v>3506.46</v>
      </c>
      <c r="M50">
        <v>3506.46</v>
      </c>
      <c r="N50">
        <v>3505.74</v>
      </c>
      <c r="O50">
        <v>3505.86</v>
      </c>
      <c r="P50">
        <v>99046400</v>
      </c>
      <c r="Q50">
        <v>971216900</v>
      </c>
    </row>
    <row r="51" spans="1:17" x14ac:dyDescent="0.25">
      <c r="A51" s="3">
        <v>42838</v>
      </c>
      <c r="B51" s="4">
        <v>0.40625</v>
      </c>
      <c r="C51">
        <v>3505.54</v>
      </c>
      <c r="D51">
        <v>3506.41</v>
      </c>
      <c r="E51">
        <v>3505.5</v>
      </c>
      <c r="F51">
        <v>3505.65</v>
      </c>
      <c r="G51">
        <v>957032</v>
      </c>
      <c r="H51">
        <v>998711296</v>
      </c>
      <c r="K51" s="1">
        <v>42838.405555555553</v>
      </c>
      <c r="L51">
        <v>3506.03</v>
      </c>
      <c r="M51">
        <v>3506.41</v>
      </c>
      <c r="N51">
        <v>3505.5</v>
      </c>
      <c r="O51">
        <v>3505.82</v>
      </c>
      <c r="P51">
        <v>97585000</v>
      </c>
      <c r="Q51">
        <v>1011147400</v>
      </c>
    </row>
    <row r="52" spans="1:17" x14ac:dyDescent="0.25">
      <c r="A52" s="3">
        <v>42838</v>
      </c>
      <c r="B52" s="4">
        <v>0.4069444444444445</v>
      </c>
      <c r="C52">
        <v>3505.48</v>
      </c>
      <c r="D52">
        <v>3505.74</v>
      </c>
      <c r="E52">
        <v>3504.33</v>
      </c>
      <c r="F52">
        <v>3504.52</v>
      </c>
      <c r="G52">
        <v>958420</v>
      </c>
      <c r="H52">
        <v>992389120</v>
      </c>
      <c r="K52" s="1">
        <v>42838.40625</v>
      </c>
      <c r="L52">
        <v>3505.65</v>
      </c>
      <c r="M52">
        <v>3505.74</v>
      </c>
      <c r="N52">
        <v>3504.33</v>
      </c>
      <c r="O52">
        <v>3504.33</v>
      </c>
      <c r="P52">
        <v>94295500</v>
      </c>
      <c r="Q52">
        <v>986527900</v>
      </c>
    </row>
    <row r="53" spans="1:17" x14ac:dyDescent="0.25">
      <c r="A53" s="3">
        <v>42838</v>
      </c>
      <c r="B53" s="4">
        <v>0.40763888888888888</v>
      </c>
      <c r="C53">
        <v>3504.89</v>
      </c>
      <c r="D53">
        <v>3504.89</v>
      </c>
      <c r="E53">
        <v>3502.64</v>
      </c>
      <c r="F53">
        <v>3502.64</v>
      </c>
      <c r="G53">
        <v>880372</v>
      </c>
      <c r="H53">
        <v>928694272</v>
      </c>
      <c r="K53" s="1">
        <v>42838.406944444447</v>
      </c>
      <c r="L53">
        <v>3504.52</v>
      </c>
      <c r="M53">
        <v>3504.89</v>
      </c>
      <c r="N53">
        <v>3502.95</v>
      </c>
      <c r="O53">
        <v>3502.95</v>
      </c>
      <c r="P53">
        <v>88638000</v>
      </c>
      <c r="Q53">
        <v>931086800</v>
      </c>
    </row>
    <row r="54" spans="1:17" x14ac:dyDescent="0.25">
      <c r="A54" s="3">
        <v>42838</v>
      </c>
      <c r="B54" s="4">
        <v>0.40833333333333338</v>
      </c>
      <c r="C54">
        <v>3503.07</v>
      </c>
      <c r="D54">
        <v>3503.07</v>
      </c>
      <c r="E54">
        <v>3501.8</v>
      </c>
      <c r="F54">
        <v>3503.04</v>
      </c>
      <c r="G54">
        <v>911608</v>
      </c>
      <c r="H54">
        <v>989247488</v>
      </c>
      <c r="K54" s="1">
        <v>42838.407638888886</v>
      </c>
      <c r="L54">
        <v>3502.64</v>
      </c>
      <c r="M54">
        <v>3503.07</v>
      </c>
      <c r="N54">
        <v>3501.8</v>
      </c>
      <c r="O54">
        <v>3502.27</v>
      </c>
      <c r="P54">
        <v>91353200</v>
      </c>
      <c r="Q54">
        <v>973106400</v>
      </c>
    </row>
    <row r="55" spans="1:17" x14ac:dyDescent="0.25">
      <c r="A55" s="3">
        <v>42838</v>
      </c>
      <c r="B55" s="4">
        <v>0.40902777777777777</v>
      </c>
      <c r="C55">
        <v>3502.75</v>
      </c>
      <c r="D55">
        <v>3504.02</v>
      </c>
      <c r="E55">
        <v>3502.62</v>
      </c>
      <c r="F55">
        <v>3504.02</v>
      </c>
      <c r="G55">
        <v>1084664</v>
      </c>
      <c r="H55">
        <v>1111506944</v>
      </c>
      <c r="K55" s="1">
        <v>42838.408333333333</v>
      </c>
      <c r="L55">
        <v>3503.04</v>
      </c>
      <c r="M55">
        <v>3503.45</v>
      </c>
      <c r="N55">
        <v>3502.62</v>
      </c>
      <c r="O55">
        <v>3503.45</v>
      </c>
      <c r="P55">
        <v>109143800</v>
      </c>
      <c r="Q55">
        <v>1136671400</v>
      </c>
    </row>
    <row r="56" spans="1:17" x14ac:dyDescent="0.25">
      <c r="A56" s="3">
        <v>42838</v>
      </c>
      <c r="B56" s="4">
        <v>0.40972222222222227</v>
      </c>
      <c r="C56">
        <v>3504.24</v>
      </c>
      <c r="D56">
        <v>3505.84</v>
      </c>
      <c r="E56">
        <v>3503.77</v>
      </c>
      <c r="F56">
        <v>3505.3</v>
      </c>
      <c r="G56">
        <v>892600</v>
      </c>
      <c r="H56">
        <v>965281792</v>
      </c>
      <c r="K56" s="1">
        <v>42838.40902777778</v>
      </c>
      <c r="L56">
        <v>3504.02</v>
      </c>
      <c r="M56">
        <v>3505.84</v>
      </c>
      <c r="N56">
        <v>3503.77</v>
      </c>
      <c r="O56">
        <v>3505.15</v>
      </c>
      <c r="P56">
        <v>90726900</v>
      </c>
      <c r="Q56">
        <v>976358600</v>
      </c>
    </row>
    <row r="57" spans="1:17" x14ac:dyDescent="0.25">
      <c r="A57" s="3">
        <v>42838</v>
      </c>
      <c r="B57" s="4">
        <v>0.41041666666666665</v>
      </c>
      <c r="C57">
        <v>3505.53</v>
      </c>
      <c r="D57">
        <v>3505.91</v>
      </c>
      <c r="E57">
        <v>3505.35</v>
      </c>
      <c r="F57">
        <v>3505.66</v>
      </c>
      <c r="G57">
        <v>784756</v>
      </c>
      <c r="H57">
        <v>863465472</v>
      </c>
      <c r="K57" s="1">
        <v>42838.409722222219</v>
      </c>
      <c r="L57">
        <v>3505.3</v>
      </c>
      <c r="M57">
        <v>3505.91</v>
      </c>
      <c r="N57">
        <v>3505.3</v>
      </c>
      <c r="O57">
        <v>3505.85</v>
      </c>
      <c r="P57">
        <v>77870900</v>
      </c>
      <c r="Q57">
        <v>859313200</v>
      </c>
    </row>
    <row r="58" spans="1:17" x14ac:dyDescent="0.25">
      <c r="A58" s="3">
        <v>42838</v>
      </c>
      <c r="B58" s="4">
        <v>0.41111111111111115</v>
      </c>
      <c r="C58">
        <v>3505.68</v>
      </c>
      <c r="D58">
        <v>3506.13</v>
      </c>
      <c r="E58">
        <v>3505.32</v>
      </c>
      <c r="F58">
        <v>3505.5</v>
      </c>
      <c r="G58">
        <v>707048</v>
      </c>
      <c r="H58">
        <v>752644096</v>
      </c>
      <c r="K58" s="1">
        <v>42838.410416666666</v>
      </c>
      <c r="L58">
        <v>3505.66</v>
      </c>
      <c r="M58">
        <v>3506.13</v>
      </c>
      <c r="N58">
        <v>3505.4</v>
      </c>
      <c r="O58">
        <v>3505.8</v>
      </c>
      <c r="P58">
        <v>65281400</v>
      </c>
      <c r="Q58">
        <v>701609600</v>
      </c>
    </row>
    <row r="59" spans="1:17" x14ac:dyDescent="0.25">
      <c r="A59" s="3">
        <v>42838</v>
      </c>
      <c r="B59" s="4">
        <v>0.41180555555555554</v>
      </c>
      <c r="C59">
        <v>3505.58</v>
      </c>
      <c r="D59">
        <v>3505.8</v>
      </c>
      <c r="E59">
        <v>3505.34</v>
      </c>
      <c r="F59">
        <v>3505.61</v>
      </c>
      <c r="G59">
        <v>743682</v>
      </c>
      <c r="H59">
        <v>733026304</v>
      </c>
      <c r="K59" s="1">
        <v>42838.411111111112</v>
      </c>
      <c r="L59">
        <v>3505.32</v>
      </c>
      <c r="M59">
        <v>3505.8</v>
      </c>
      <c r="N59">
        <v>3505.32</v>
      </c>
      <c r="O59">
        <v>3505.38</v>
      </c>
      <c r="P59">
        <v>81003900</v>
      </c>
      <c r="Q59">
        <v>793934900</v>
      </c>
    </row>
    <row r="60" spans="1:17" x14ac:dyDescent="0.25">
      <c r="A60" s="3">
        <v>42838</v>
      </c>
      <c r="B60" s="4">
        <v>0.41250000000000003</v>
      </c>
      <c r="C60">
        <v>3505.12</v>
      </c>
      <c r="D60">
        <v>3505.64</v>
      </c>
      <c r="E60">
        <v>3505.06</v>
      </c>
      <c r="F60">
        <v>3505.16</v>
      </c>
      <c r="G60">
        <v>691970</v>
      </c>
      <c r="H60">
        <v>680964096</v>
      </c>
      <c r="K60" s="1">
        <v>42838.411805555559</v>
      </c>
      <c r="L60">
        <v>3505.61</v>
      </c>
      <c r="M60">
        <v>3505.64</v>
      </c>
      <c r="N60">
        <v>3505.06</v>
      </c>
      <c r="O60">
        <v>3505.17</v>
      </c>
      <c r="P60">
        <v>67388600</v>
      </c>
      <c r="Q60">
        <v>665951800</v>
      </c>
    </row>
    <row r="61" spans="1:17" x14ac:dyDescent="0.25">
      <c r="A61" s="3">
        <v>42838</v>
      </c>
      <c r="B61" s="4">
        <v>0.41319444444444442</v>
      </c>
      <c r="C61">
        <v>3505.02</v>
      </c>
      <c r="D61">
        <v>3505.73</v>
      </c>
      <c r="E61">
        <v>3504.78</v>
      </c>
      <c r="F61">
        <v>3505.19</v>
      </c>
      <c r="G61">
        <v>673380</v>
      </c>
      <c r="H61">
        <v>693274624</v>
      </c>
      <c r="K61" s="1">
        <v>42838.412499999999</v>
      </c>
      <c r="L61">
        <v>3505.16</v>
      </c>
      <c r="M61">
        <v>3505.73</v>
      </c>
      <c r="N61">
        <v>3504.91</v>
      </c>
      <c r="O61">
        <v>3505.05</v>
      </c>
      <c r="P61">
        <v>64331900</v>
      </c>
      <c r="Q61">
        <v>658459000</v>
      </c>
    </row>
    <row r="62" spans="1:17" x14ac:dyDescent="0.25">
      <c r="A62" s="3">
        <v>42838</v>
      </c>
      <c r="B62" s="4">
        <v>0.41388888888888892</v>
      </c>
      <c r="C62">
        <v>3504.92</v>
      </c>
      <c r="D62">
        <v>3505.15</v>
      </c>
      <c r="E62">
        <v>3504.44</v>
      </c>
      <c r="F62">
        <v>3504.44</v>
      </c>
      <c r="G62">
        <v>661428</v>
      </c>
      <c r="H62">
        <v>677273600</v>
      </c>
      <c r="K62" s="1">
        <v>42838.413194444445</v>
      </c>
      <c r="L62">
        <v>3504.78</v>
      </c>
      <c r="M62">
        <v>3505.19</v>
      </c>
      <c r="N62">
        <v>3504.45</v>
      </c>
      <c r="O62">
        <v>3504.75</v>
      </c>
      <c r="P62">
        <v>65928500</v>
      </c>
      <c r="Q62">
        <v>669515700</v>
      </c>
    </row>
    <row r="63" spans="1:17" x14ac:dyDescent="0.25">
      <c r="A63" s="3">
        <v>42838</v>
      </c>
      <c r="B63" s="4">
        <v>0.4145833333333333</v>
      </c>
      <c r="C63">
        <v>3504.65</v>
      </c>
      <c r="D63">
        <v>3505.04</v>
      </c>
      <c r="E63">
        <v>3504.34</v>
      </c>
      <c r="F63">
        <v>3504.91</v>
      </c>
      <c r="G63">
        <v>750758</v>
      </c>
      <c r="H63">
        <v>804481024</v>
      </c>
      <c r="K63" s="1">
        <v>42838.413888888892</v>
      </c>
      <c r="L63">
        <v>3504.7</v>
      </c>
      <c r="M63">
        <v>3505.04</v>
      </c>
      <c r="N63">
        <v>3504.34</v>
      </c>
      <c r="O63">
        <v>3505.04</v>
      </c>
      <c r="P63">
        <v>69692500</v>
      </c>
      <c r="Q63">
        <v>763367200</v>
      </c>
    </row>
    <row r="64" spans="1:17" x14ac:dyDescent="0.25">
      <c r="A64" s="3">
        <v>42838</v>
      </c>
      <c r="B64" s="4">
        <v>0.4152777777777778</v>
      </c>
      <c r="C64">
        <v>3504.95</v>
      </c>
      <c r="D64">
        <v>3505.59</v>
      </c>
      <c r="E64">
        <v>3504.84</v>
      </c>
      <c r="F64">
        <v>3505.21</v>
      </c>
      <c r="G64">
        <v>852090</v>
      </c>
      <c r="H64">
        <v>802172928</v>
      </c>
      <c r="K64" s="1">
        <v>42838.414583333331</v>
      </c>
      <c r="L64">
        <v>3504.89</v>
      </c>
      <c r="M64">
        <v>3505.59</v>
      </c>
      <c r="N64">
        <v>3504.84</v>
      </c>
      <c r="O64">
        <v>3505.59</v>
      </c>
      <c r="P64">
        <v>88560100</v>
      </c>
      <c r="Q64">
        <v>831638000</v>
      </c>
    </row>
    <row r="65" spans="1:17" x14ac:dyDescent="0.25">
      <c r="A65" s="3">
        <v>42838</v>
      </c>
      <c r="B65" s="4">
        <v>0.41597222222222219</v>
      </c>
      <c r="C65">
        <v>3505.37</v>
      </c>
      <c r="D65">
        <v>3505.63</v>
      </c>
      <c r="E65">
        <v>3505.37</v>
      </c>
      <c r="F65">
        <v>3505.43</v>
      </c>
      <c r="G65">
        <v>699980</v>
      </c>
      <c r="H65">
        <v>722073600</v>
      </c>
      <c r="K65" s="1">
        <v>42838.415277777778</v>
      </c>
      <c r="L65">
        <v>3505.16</v>
      </c>
      <c r="M65">
        <v>3505.61</v>
      </c>
      <c r="N65">
        <v>3505.16</v>
      </c>
      <c r="O65">
        <v>3505.61</v>
      </c>
      <c r="P65">
        <v>71611600</v>
      </c>
      <c r="Q65">
        <v>730375200</v>
      </c>
    </row>
    <row r="66" spans="1:17" x14ac:dyDescent="0.25">
      <c r="A66" s="3">
        <v>42838</v>
      </c>
      <c r="B66" s="4">
        <v>0.41666666666666669</v>
      </c>
      <c r="C66">
        <v>3505.49</v>
      </c>
      <c r="D66">
        <v>3505.49</v>
      </c>
      <c r="E66">
        <v>3504.44</v>
      </c>
      <c r="F66">
        <v>3504.44</v>
      </c>
      <c r="G66">
        <v>947616</v>
      </c>
      <c r="H66">
        <v>881952768</v>
      </c>
    </row>
    <row r="67" spans="1:17" x14ac:dyDescent="0.25">
      <c r="A67" s="3">
        <v>42838</v>
      </c>
      <c r="B67" s="4">
        <v>0.41736111111111113</v>
      </c>
      <c r="C67">
        <v>3504.03</v>
      </c>
      <c r="D67">
        <v>3504.55</v>
      </c>
      <c r="E67">
        <v>3503.65</v>
      </c>
      <c r="F67">
        <v>3503.94</v>
      </c>
      <c r="G67">
        <v>897392</v>
      </c>
      <c r="H67">
        <v>851177472</v>
      </c>
    </row>
    <row r="68" spans="1:17" x14ac:dyDescent="0.25">
      <c r="A68" s="3">
        <v>42838</v>
      </c>
      <c r="B68" s="4">
        <v>0.41805555555555557</v>
      </c>
      <c r="C68">
        <v>3503.76</v>
      </c>
      <c r="D68">
        <v>3503.76</v>
      </c>
      <c r="E68">
        <v>3502.91</v>
      </c>
      <c r="F68">
        <v>3503.12</v>
      </c>
      <c r="G68">
        <v>846000</v>
      </c>
      <c r="H68">
        <v>826200064</v>
      </c>
    </row>
    <row r="69" spans="1:17" x14ac:dyDescent="0.25">
      <c r="A69" s="3">
        <v>42838</v>
      </c>
      <c r="B69" s="4">
        <v>0.41875000000000001</v>
      </c>
      <c r="C69">
        <v>3502.72</v>
      </c>
      <c r="D69">
        <v>3502.83</v>
      </c>
      <c r="E69">
        <v>3502.06</v>
      </c>
      <c r="F69">
        <v>3502.07</v>
      </c>
      <c r="G69">
        <v>857004</v>
      </c>
      <c r="H69">
        <v>801185792</v>
      </c>
    </row>
    <row r="70" spans="1:17" x14ac:dyDescent="0.25">
      <c r="A70" s="3">
        <v>42838</v>
      </c>
      <c r="B70" s="4">
        <v>0.41944444444444445</v>
      </c>
      <c r="C70">
        <v>3501.82</v>
      </c>
      <c r="D70">
        <v>3502.91</v>
      </c>
      <c r="E70">
        <v>3501.82</v>
      </c>
      <c r="F70">
        <v>3502.91</v>
      </c>
      <c r="G70">
        <v>728440</v>
      </c>
      <c r="H70">
        <v>751673344</v>
      </c>
    </row>
    <row r="71" spans="1:17" x14ac:dyDescent="0.25">
      <c r="A71" s="3">
        <v>42838</v>
      </c>
      <c r="B71" s="4">
        <v>0.4201388888888889</v>
      </c>
      <c r="C71">
        <v>3502.87</v>
      </c>
      <c r="D71">
        <v>3503.58</v>
      </c>
      <c r="E71">
        <v>3502.71</v>
      </c>
      <c r="F71">
        <v>3503.3</v>
      </c>
      <c r="G71">
        <v>704920</v>
      </c>
      <c r="H71">
        <v>732860416</v>
      </c>
    </row>
    <row r="72" spans="1:17" x14ac:dyDescent="0.25">
      <c r="A72" s="3">
        <v>42838</v>
      </c>
      <c r="B72" s="4">
        <v>0.42083333333333334</v>
      </c>
      <c r="C72">
        <v>3503.38</v>
      </c>
      <c r="D72">
        <v>3503.89</v>
      </c>
      <c r="E72">
        <v>3503.36</v>
      </c>
      <c r="F72">
        <v>3503.65</v>
      </c>
      <c r="G72">
        <v>525664</v>
      </c>
      <c r="H72">
        <v>561004544</v>
      </c>
    </row>
    <row r="73" spans="1:17" x14ac:dyDescent="0.25">
      <c r="A73" s="3">
        <v>42838</v>
      </c>
      <c r="B73" s="4">
        <v>0.42152777777777778</v>
      </c>
      <c r="C73">
        <v>3503.72</v>
      </c>
      <c r="D73">
        <v>3504.13</v>
      </c>
      <c r="E73">
        <v>3503.61</v>
      </c>
      <c r="F73">
        <v>3503.94</v>
      </c>
      <c r="G73">
        <v>489484</v>
      </c>
      <c r="H73">
        <v>518905856</v>
      </c>
    </row>
    <row r="74" spans="1:17" x14ac:dyDescent="0.25">
      <c r="A74" s="3">
        <v>42838</v>
      </c>
      <c r="B74" s="4">
        <v>0.42222222222222222</v>
      </c>
      <c r="C74">
        <v>3503.95</v>
      </c>
      <c r="D74">
        <v>3504.92</v>
      </c>
      <c r="E74">
        <v>3503.78</v>
      </c>
      <c r="F74">
        <v>3504.92</v>
      </c>
      <c r="G74">
        <v>495496</v>
      </c>
      <c r="H74">
        <v>557936640</v>
      </c>
    </row>
    <row r="75" spans="1:17" x14ac:dyDescent="0.25">
      <c r="A75" s="3">
        <v>42838</v>
      </c>
      <c r="B75" s="4">
        <v>0.42291666666666666</v>
      </c>
      <c r="C75">
        <v>3505.04</v>
      </c>
      <c r="D75">
        <v>3506.62</v>
      </c>
      <c r="E75">
        <v>3505.04</v>
      </c>
      <c r="F75">
        <v>3506.19</v>
      </c>
      <c r="G75">
        <v>572156</v>
      </c>
      <c r="H75">
        <v>635953152</v>
      </c>
    </row>
    <row r="76" spans="1:17" x14ac:dyDescent="0.25">
      <c r="A76" s="3">
        <v>42838</v>
      </c>
      <c r="B76" s="4">
        <v>0.4236111111111111</v>
      </c>
      <c r="C76">
        <v>3506.82</v>
      </c>
      <c r="D76">
        <v>3508.35</v>
      </c>
      <c r="E76">
        <v>3506.82</v>
      </c>
      <c r="F76">
        <v>3507.96</v>
      </c>
      <c r="G76">
        <v>566940</v>
      </c>
      <c r="H76">
        <v>667103232</v>
      </c>
    </row>
    <row r="77" spans="1:17" x14ac:dyDescent="0.25">
      <c r="A77" s="3">
        <v>42838</v>
      </c>
      <c r="B77" s="4">
        <v>0.42430555555555555</v>
      </c>
      <c r="C77">
        <v>3508.2</v>
      </c>
      <c r="D77">
        <v>3509.67</v>
      </c>
      <c r="E77">
        <v>3508.2</v>
      </c>
      <c r="F77">
        <v>3509.67</v>
      </c>
      <c r="G77">
        <v>525984</v>
      </c>
      <c r="H77">
        <v>600166400</v>
      </c>
    </row>
    <row r="78" spans="1:17" x14ac:dyDescent="0.25">
      <c r="A78" s="3">
        <v>42838</v>
      </c>
      <c r="B78" s="4">
        <v>0.42499999999999999</v>
      </c>
      <c r="C78">
        <v>3509.49</v>
      </c>
      <c r="D78">
        <v>3510.4</v>
      </c>
      <c r="E78">
        <v>3509.49</v>
      </c>
      <c r="F78">
        <v>3510.21</v>
      </c>
      <c r="G78">
        <v>550964</v>
      </c>
      <c r="H78">
        <v>609427456</v>
      </c>
    </row>
    <row r="79" spans="1:17" x14ac:dyDescent="0.25">
      <c r="A79" s="3">
        <v>42838</v>
      </c>
      <c r="B79" s="4">
        <v>0.42569444444444443</v>
      </c>
      <c r="C79">
        <v>3510.18</v>
      </c>
      <c r="D79">
        <v>3510.93</v>
      </c>
      <c r="E79">
        <v>3510.11</v>
      </c>
      <c r="F79">
        <v>3510.93</v>
      </c>
      <c r="G79">
        <v>515532</v>
      </c>
      <c r="H79">
        <v>555945984</v>
      </c>
    </row>
    <row r="80" spans="1:17" x14ac:dyDescent="0.25">
      <c r="A80" s="3">
        <v>42838</v>
      </c>
      <c r="B80" s="4">
        <v>0.42638888888888887</v>
      </c>
      <c r="C80">
        <v>3511.1</v>
      </c>
      <c r="D80">
        <v>3512.35</v>
      </c>
      <c r="E80">
        <v>3511.1</v>
      </c>
      <c r="F80">
        <v>3512.34</v>
      </c>
      <c r="G80">
        <v>501848</v>
      </c>
      <c r="H80">
        <v>576520192</v>
      </c>
    </row>
    <row r="81" spans="1:8" x14ac:dyDescent="0.25">
      <c r="A81" s="3">
        <v>42838</v>
      </c>
      <c r="B81" s="4">
        <v>0.42708333333333331</v>
      </c>
      <c r="C81">
        <v>3512.33</v>
      </c>
      <c r="D81">
        <v>3512.98</v>
      </c>
      <c r="E81">
        <v>3512.33</v>
      </c>
      <c r="F81">
        <v>3512.93</v>
      </c>
      <c r="G81">
        <v>483820</v>
      </c>
      <c r="H81">
        <v>559321088</v>
      </c>
    </row>
    <row r="82" spans="1:8" x14ac:dyDescent="0.25">
      <c r="A82" s="3">
        <v>42838</v>
      </c>
      <c r="B82" s="4">
        <v>0.42777777777777781</v>
      </c>
      <c r="C82">
        <v>3512.69</v>
      </c>
      <c r="D82">
        <v>3513.3</v>
      </c>
      <c r="E82">
        <v>3512.69</v>
      </c>
      <c r="F82">
        <v>3513.09</v>
      </c>
      <c r="G82">
        <v>465484</v>
      </c>
      <c r="H82">
        <v>531554304</v>
      </c>
    </row>
    <row r="83" spans="1:8" x14ac:dyDescent="0.25">
      <c r="A83" s="3">
        <v>42838</v>
      </c>
      <c r="B83" s="4">
        <v>0.4284722222222222</v>
      </c>
      <c r="C83">
        <v>3513</v>
      </c>
      <c r="D83">
        <v>3513</v>
      </c>
      <c r="E83">
        <v>3512.68</v>
      </c>
      <c r="F83">
        <v>3512.78</v>
      </c>
      <c r="G83">
        <v>514116</v>
      </c>
      <c r="H83">
        <v>577589248</v>
      </c>
    </row>
    <row r="84" spans="1:8" x14ac:dyDescent="0.25">
      <c r="A84" s="3">
        <v>42838</v>
      </c>
      <c r="B84" s="4">
        <v>0.4291666666666667</v>
      </c>
      <c r="C84">
        <v>3512.66</v>
      </c>
      <c r="D84">
        <v>3512.76</v>
      </c>
      <c r="E84">
        <v>3512.24</v>
      </c>
      <c r="F84">
        <v>3512.38</v>
      </c>
      <c r="G84">
        <v>386032</v>
      </c>
      <c r="H84">
        <v>441966592</v>
      </c>
    </row>
    <row r="85" spans="1:8" x14ac:dyDescent="0.25">
      <c r="A85" s="3">
        <v>42838</v>
      </c>
      <c r="B85" s="4">
        <v>0.42986111111111108</v>
      </c>
      <c r="C85">
        <v>3511.73</v>
      </c>
      <c r="D85">
        <v>3512.18</v>
      </c>
      <c r="E85">
        <v>3511.35</v>
      </c>
      <c r="F85">
        <v>3511.35</v>
      </c>
      <c r="G85">
        <v>408740</v>
      </c>
      <c r="H85">
        <v>456572928</v>
      </c>
    </row>
    <row r="86" spans="1:8" x14ac:dyDescent="0.25">
      <c r="A86" s="3">
        <v>42838</v>
      </c>
      <c r="B86" s="4">
        <v>0.43055555555555558</v>
      </c>
      <c r="C86">
        <v>3511.63</v>
      </c>
      <c r="D86">
        <v>3512.52</v>
      </c>
      <c r="E86">
        <v>3511.47</v>
      </c>
      <c r="F86">
        <v>3512.52</v>
      </c>
      <c r="G86">
        <v>470092</v>
      </c>
      <c r="H86">
        <v>528306176</v>
      </c>
    </row>
    <row r="87" spans="1:8" x14ac:dyDescent="0.25">
      <c r="A87" s="3">
        <v>42838</v>
      </c>
      <c r="B87" s="4">
        <v>0.43124999999999997</v>
      </c>
      <c r="C87">
        <v>3512.37</v>
      </c>
      <c r="D87">
        <v>3512.89</v>
      </c>
      <c r="E87">
        <v>3512.14</v>
      </c>
      <c r="F87">
        <v>3512.14</v>
      </c>
      <c r="G87">
        <v>505420</v>
      </c>
      <c r="H87">
        <v>561397760</v>
      </c>
    </row>
    <row r="88" spans="1:8" x14ac:dyDescent="0.25">
      <c r="A88" s="3">
        <v>42838</v>
      </c>
      <c r="B88" s="4">
        <v>0.43194444444444446</v>
      </c>
      <c r="C88">
        <v>3511.98</v>
      </c>
      <c r="D88">
        <v>3512.53</v>
      </c>
      <c r="E88">
        <v>3511.91</v>
      </c>
      <c r="F88">
        <v>3511.91</v>
      </c>
      <c r="G88">
        <v>420744</v>
      </c>
      <c r="H88">
        <v>480645120</v>
      </c>
    </row>
  </sheetData>
  <mergeCells count="3">
    <mergeCell ref="A4:I4"/>
    <mergeCell ref="K4:Q4"/>
    <mergeCell ref="A36:Q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指数数据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2019-12-31T05:18:48Z</dcterms:created>
  <dcterms:modified xsi:type="dcterms:W3CDTF">2019-12-31T06:55:09Z</dcterms:modified>
</cp:coreProperties>
</file>